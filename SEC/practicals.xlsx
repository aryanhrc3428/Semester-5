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3A30F3A-7402-4871-9D01-5937F0005289}" xr6:coauthVersionLast="47" xr6:coauthVersionMax="47" xr10:uidLastSave="{00000000-0000-0000-0000-000000000000}"/>
  <bookViews>
    <workbookView xWindow="14295" yWindow="0" windowWidth="14610" windowHeight="15585" firstSheet="8" activeTab="9" xr2:uid="{00000000-000D-0000-FFFF-FFFF00000000}"/>
  </bookViews>
  <sheets>
    <sheet name="Transport 1" sheetId="1" r:id="rId1"/>
    <sheet name="Transport 2" sheetId="3" r:id="rId2"/>
    <sheet name="Assignment." sheetId="4" r:id="rId3"/>
    <sheet name="Maximum Flow" sheetId="6" r:id="rId4"/>
    <sheet name="Maximum Flow (2)" sheetId="8" r:id="rId5"/>
    <sheet name="Maximum Flow (3)" sheetId="9" r:id="rId6"/>
    <sheet name="Shortest Path" sheetId="5" r:id="rId7"/>
    <sheet name="Minimum Spanning Tree" sheetId="11" r:id="rId8"/>
    <sheet name="Minimum Cost Flow" sheetId="12" r:id="rId9"/>
    <sheet name="Critical Path Method" sheetId="13" r:id="rId10"/>
  </sheets>
  <definedNames>
    <definedName name="solver_adj" localSheetId="2" hidden="1">Assignment.!$E$13:$H$15</definedName>
    <definedName name="solver_adj" localSheetId="9" hidden="1">'Critical Path Method'!$J$6:$J$19,'Critical Path Method'!$K$6:$K$19,'Critical Path Method'!$I$23</definedName>
    <definedName name="solver_adj" localSheetId="3" hidden="1">'Maximum Flow'!$D$4:$D$15</definedName>
    <definedName name="solver_adj" localSheetId="4" hidden="1">'Maximum Flow (2)'!$D$4:$D$11</definedName>
    <definedName name="solver_adj" localSheetId="5" hidden="1">'Maximum Flow (3)'!$D$4:$D$19</definedName>
    <definedName name="solver_adj" localSheetId="8" hidden="1">'Minimum Cost Flow'!$D$4:$D$10</definedName>
    <definedName name="solver_adj" localSheetId="6" hidden="1">'Shortest Path'!$D$4:$D$15</definedName>
    <definedName name="solver_adj" localSheetId="0" hidden="1">'Transport 1'!$E$14:$H$16</definedName>
    <definedName name="solver_adj" localSheetId="1" hidden="1">'Transport 2'!$E$14:$H$16</definedName>
    <definedName name="solver_cvg" localSheetId="2" hidden="1">0.0001</definedName>
    <definedName name="solver_cvg" localSheetId="9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8" hidden="1">0.0001</definedName>
    <definedName name="solver_cvg" localSheetId="6" hidden="1">0.0001</definedName>
    <definedName name="solver_cvg" localSheetId="0" hidden="1">0.0001</definedName>
    <definedName name="solver_cvg" localSheetId="1" hidden="1">0.0001</definedName>
    <definedName name="solver_drv" localSheetId="2" hidden="1">1</definedName>
    <definedName name="solver_drv" localSheetId="9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8" hidden="1">1</definedName>
    <definedName name="solver_drv" localSheetId="6" hidden="1">1</definedName>
    <definedName name="solver_drv" localSheetId="0" hidden="1">1</definedName>
    <definedName name="solver_drv" localSheetId="1" hidden="1">1</definedName>
    <definedName name="solver_eng" localSheetId="2" hidden="1">2</definedName>
    <definedName name="solver_eng" localSheetId="9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8" hidden="1">2</definedName>
    <definedName name="solver_eng" localSheetId="6" hidden="1">2</definedName>
    <definedName name="solver_eng" localSheetId="0" hidden="1">2</definedName>
    <definedName name="solver_eng" localSheetId="1" hidden="1">2</definedName>
    <definedName name="solver_est" localSheetId="2" hidden="1">1</definedName>
    <definedName name="solver_est" localSheetId="9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8" hidden="1">1</definedName>
    <definedName name="solver_est" localSheetId="6" hidden="1">1</definedName>
    <definedName name="solver_est" localSheetId="0" hidden="1">1</definedName>
    <definedName name="solver_est" localSheetId="1" hidden="1">1</definedName>
    <definedName name="solver_itr" localSheetId="2" hidden="1">2147483647</definedName>
    <definedName name="solver_itr" localSheetId="9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8" hidden="1">2147483647</definedName>
    <definedName name="solver_itr" localSheetId="6" hidden="1">2147483647</definedName>
    <definedName name="solver_itr" localSheetId="0" hidden="1">2147483647</definedName>
    <definedName name="solver_itr" localSheetId="1" hidden="1">2147483647</definedName>
    <definedName name="solver_lhs1" localSheetId="2" hidden="1">Assignment.!$E$16:$H$16</definedName>
    <definedName name="solver_lhs1" localSheetId="9" hidden="1">'Critical Path Method'!$I$23</definedName>
    <definedName name="solver_lhs1" localSheetId="3" hidden="1">'Maximum Flow'!$D$4:$D$15</definedName>
    <definedName name="solver_lhs1" localSheetId="4" hidden="1">'Maximum Flow (2)'!$D$4:$D$11</definedName>
    <definedName name="solver_lhs1" localSheetId="5" hidden="1">'Maximum Flow (3)'!$D$4:$D$19</definedName>
    <definedName name="solver_lhs1" localSheetId="8" hidden="1">'Minimum Cost Flow'!$D$4</definedName>
    <definedName name="solver_lhs1" localSheetId="6" hidden="1">'Shortest Path'!$D$4:$D$15</definedName>
    <definedName name="solver_lhs1" localSheetId="0" hidden="1">'Transport 1'!$E$17:$H$17</definedName>
    <definedName name="solver_lhs1" localSheetId="1" hidden="1">'Transport 2'!$E$17:$H$17</definedName>
    <definedName name="solver_lhs10" localSheetId="9" hidden="1">'Critical Path Method'!$J$15</definedName>
    <definedName name="solver_lhs11" localSheetId="9" hidden="1">'Critical Path Method'!$J$15</definedName>
    <definedName name="solver_lhs12" localSheetId="9" hidden="1">'Critical Path Method'!$J$16</definedName>
    <definedName name="solver_lhs13" localSheetId="9" hidden="1">'Critical Path Method'!$J$17</definedName>
    <definedName name="solver_lhs14" localSheetId="9" hidden="1">'Critical Path Method'!$J$18</definedName>
    <definedName name="solver_lhs15" localSheetId="9" hidden="1">'Critical Path Method'!$J$19</definedName>
    <definedName name="solver_lhs16" localSheetId="9" hidden="1">'Critical Path Method'!$J$19</definedName>
    <definedName name="solver_lhs17" localSheetId="9" hidden="1">'Critical Path Method'!$J$7</definedName>
    <definedName name="solver_lhs18" localSheetId="9" hidden="1">'Critical Path Method'!$J$8</definedName>
    <definedName name="solver_lhs19" localSheetId="9" hidden="1">'Critical Path Method'!$J$9</definedName>
    <definedName name="solver_lhs2" localSheetId="2" hidden="1">Assignment.!$I$13:$I$15</definedName>
    <definedName name="solver_lhs2" localSheetId="9" hidden="1">'Critical Path Method'!$I$23</definedName>
    <definedName name="solver_lhs2" localSheetId="3" hidden="1">'Maximum Flow'!$J$5:$J$9</definedName>
    <definedName name="solver_lhs2" localSheetId="4" hidden="1">'Maximum Flow (2)'!$J$5:$J$8</definedName>
    <definedName name="solver_lhs2" localSheetId="5" hidden="1">'Maximum Flow (3)'!$J$5:$J$11</definedName>
    <definedName name="solver_lhs2" localSheetId="8" hidden="1">'Minimum Cost Flow'!$D$8</definedName>
    <definedName name="solver_lhs2" localSheetId="6" hidden="1">'Shortest Path'!$I$4:$I$10</definedName>
    <definedName name="solver_lhs2" localSheetId="0" hidden="1">'Transport 1'!$I$14:$I$16</definedName>
    <definedName name="solver_lhs2" localSheetId="1" hidden="1">'Transport 2'!$I$14:$I$16</definedName>
    <definedName name="solver_lhs20" localSheetId="9" hidden="1">'Critical Path Method'!$K$6:$K$19</definedName>
    <definedName name="solver_lhs3" localSheetId="9" hidden="1">'Critical Path Method'!$I$23</definedName>
    <definedName name="solver_lhs3" localSheetId="8" hidden="1">'Minimum Cost Flow'!$H$4:$H$8</definedName>
    <definedName name="solver_lhs4" localSheetId="9" hidden="1">'Critical Path Method'!$J$10</definedName>
    <definedName name="solver_lhs5" localSheetId="9" hidden="1">'Critical Path Method'!$J$11</definedName>
    <definedName name="solver_lhs6" localSheetId="9" hidden="1">'Critical Path Method'!$J$12</definedName>
    <definedName name="solver_lhs7" localSheetId="9" hidden="1">'Critical Path Method'!$J$13</definedName>
    <definedName name="solver_lhs8" localSheetId="9" hidden="1">'Critical Path Method'!$J$13</definedName>
    <definedName name="solver_lhs9" localSheetId="9" hidden="1">'Critical Path Method'!$J$14</definedName>
    <definedName name="solver_mip" localSheetId="2" hidden="1">2147483647</definedName>
    <definedName name="solver_mip" localSheetId="9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8" hidden="1">2147483647</definedName>
    <definedName name="solver_mip" localSheetId="6" hidden="1">2147483647</definedName>
    <definedName name="solver_mip" localSheetId="0" hidden="1">2147483647</definedName>
    <definedName name="solver_mip" localSheetId="1" hidden="1">2147483647</definedName>
    <definedName name="solver_mni" localSheetId="2" hidden="1">30</definedName>
    <definedName name="solver_mni" localSheetId="9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8" hidden="1">30</definedName>
    <definedName name="solver_mni" localSheetId="6" hidden="1">30</definedName>
    <definedName name="solver_mni" localSheetId="0" hidden="1">30</definedName>
    <definedName name="solver_mni" localSheetId="1" hidden="1">30</definedName>
    <definedName name="solver_mrt" localSheetId="2" hidden="1">0.075</definedName>
    <definedName name="solver_mrt" localSheetId="9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8" hidden="1">0.075</definedName>
    <definedName name="solver_mrt" localSheetId="6" hidden="1">0.075</definedName>
    <definedName name="solver_mrt" localSheetId="0" hidden="1">0.075</definedName>
    <definedName name="solver_mrt" localSheetId="1" hidden="1">0.075</definedName>
    <definedName name="solver_msl" localSheetId="2" hidden="1">2</definedName>
    <definedName name="solver_msl" localSheetId="9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8" hidden="1">2</definedName>
    <definedName name="solver_msl" localSheetId="6" hidden="1">2</definedName>
    <definedName name="solver_msl" localSheetId="0" hidden="1">2</definedName>
    <definedName name="solver_msl" localSheetId="1" hidden="1">2</definedName>
    <definedName name="solver_neg" localSheetId="2" hidden="1">1</definedName>
    <definedName name="solver_neg" localSheetId="9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8" hidden="1">1</definedName>
    <definedName name="solver_neg" localSheetId="6" hidden="1">1</definedName>
    <definedName name="solver_neg" localSheetId="0" hidden="1">1</definedName>
    <definedName name="solver_neg" localSheetId="1" hidden="1">1</definedName>
    <definedName name="solver_nod" localSheetId="2" hidden="1">2147483647</definedName>
    <definedName name="solver_nod" localSheetId="9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8" hidden="1">2147483647</definedName>
    <definedName name="solver_nod" localSheetId="6" hidden="1">2147483647</definedName>
    <definedName name="solver_nod" localSheetId="0" hidden="1">2147483647</definedName>
    <definedName name="solver_nod" localSheetId="1" hidden="1">2147483647</definedName>
    <definedName name="solver_num" localSheetId="2" hidden="1">2</definedName>
    <definedName name="solver_num" localSheetId="9" hidden="1">20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um" localSheetId="8" hidden="1">3</definedName>
    <definedName name="solver_num" localSheetId="6" hidden="1">2</definedName>
    <definedName name="solver_num" localSheetId="0" hidden="1">2</definedName>
    <definedName name="solver_num" localSheetId="1" hidden="1">2</definedName>
    <definedName name="solver_nwt" localSheetId="2" hidden="1">1</definedName>
    <definedName name="solver_nwt" localSheetId="9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8" hidden="1">1</definedName>
    <definedName name="solver_nwt" localSheetId="6" hidden="1">1</definedName>
    <definedName name="solver_nwt" localSheetId="0" hidden="1">1</definedName>
    <definedName name="solver_nwt" localSheetId="1" hidden="1">1</definedName>
    <definedName name="solver_opt" localSheetId="2" hidden="1">Assignment.!$F$20</definedName>
    <definedName name="solver_opt" localSheetId="9" hidden="1">'Critical Path Method'!$I$26</definedName>
    <definedName name="solver_opt" localSheetId="3" hidden="1">'Maximum Flow'!$J$4</definedName>
    <definedName name="solver_opt" localSheetId="4" hidden="1">'Maximum Flow (2)'!$J$4</definedName>
    <definedName name="solver_opt" localSheetId="5" hidden="1">'Maximum Flow (3)'!$F$22</definedName>
    <definedName name="solver_opt" localSheetId="8" hidden="1">'Minimum Cost Flow'!$E$12</definedName>
    <definedName name="solver_opt" localSheetId="6" hidden="1">'Shortest Path'!$E$16</definedName>
    <definedName name="solver_opt" localSheetId="0" hidden="1">'Transport 1'!$F$21</definedName>
    <definedName name="solver_opt" localSheetId="1" hidden="1">'Transport 2'!$F$21</definedName>
    <definedName name="solver_pre" localSheetId="2" hidden="1">0.000001</definedName>
    <definedName name="solver_pre" localSheetId="9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8" hidden="1">0.000001</definedName>
    <definedName name="solver_pre" localSheetId="6" hidden="1">0.000001</definedName>
    <definedName name="solver_pre" localSheetId="0" hidden="1">0.000001</definedName>
    <definedName name="solver_pre" localSheetId="1" hidden="1">0.000001</definedName>
    <definedName name="solver_rbv" localSheetId="2" hidden="1">1</definedName>
    <definedName name="solver_rbv" localSheetId="9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8" hidden="1">1</definedName>
    <definedName name="solver_rbv" localSheetId="6" hidden="1">1</definedName>
    <definedName name="solver_rbv" localSheetId="0" hidden="1">1</definedName>
    <definedName name="solver_rbv" localSheetId="1" hidden="1">1</definedName>
    <definedName name="solver_rel1" localSheetId="2" hidden="1">1</definedName>
    <definedName name="solver_rel1" localSheetId="9" hidden="1">1</definedName>
    <definedName name="solver_rel1" localSheetId="3" hidden="1">1</definedName>
    <definedName name="solver_rel1" localSheetId="4" hidden="1">1</definedName>
    <definedName name="solver_rel1" localSheetId="5" hidden="1">1</definedName>
    <definedName name="solver_rel1" localSheetId="8" hidden="1">1</definedName>
    <definedName name="solver_rel1" localSheetId="6" hidden="1">5</definedName>
    <definedName name="solver_rel1" localSheetId="0" hidden="1">2</definedName>
    <definedName name="solver_rel1" localSheetId="1" hidden="1">1</definedName>
    <definedName name="solver_rel10" localSheetId="9" hidden="1">3</definedName>
    <definedName name="solver_rel11" localSheetId="9" hidden="1">3</definedName>
    <definedName name="solver_rel12" localSheetId="9" hidden="1">3</definedName>
    <definedName name="solver_rel13" localSheetId="9" hidden="1">3</definedName>
    <definedName name="solver_rel14" localSheetId="9" hidden="1">3</definedName>
    <definedName name="solver_rel15" localSheetId="9" hidden="1">3</definedName>
    <definedName name="solver_rel16" localSheetId="9" hidden="1">3</definedName>
    <definedName name="solver_rel17" localSheetId="9" hidden="1">3</definedName>
    <definedName name="solver_rel18" localSheetId="9" hidden="1">3</definedName>
    <definedName name="solver_rel19" localSheetId="9" hidden="1">3</definedName>
    <definedName name="solver_rel2" localSheetId="2" hidden="1">2</definedName>
    <definedName name="solver_rel2" localSheetId="9" hidden="1">3</definedName>
    <definedName name="solver_rel2" localSheetId="3" hidden="1">2</definedName>
    <definedName name="solver_rel2" localSheetId="4" hidden="1">2</definedName>
    <definedName name="solver_rel2" localSheetId="5" hidden="1">2</definedName>
    <definedName name="solver_rel2" localSheetId="8" hidden="1">1</definedName>
    <definedName name="solver_rel2" localSheetId="6" hidden="1">2</definedName>
    <definedName name="solver_rel2" localSheetId="0" hidden="1">2</definedName>
    <definedName name="solver_rel2" localSheetId="1" hidden="1">2</definedName>
    <definedName name="solver_rel20" localSheetId="9" hidden="1">1</definedName>
    <definedName name="solver_rel3" localSheetId="9" hidden="1">3</definedName>
    <definedName name="solver_rel3" localSheetId="8" hidden="1">2</definedName>
    <definedName name="solver_rel4" localSheetId="9" hidden="1">3</definedName>
    <definedName name="solver_rel5" localSheetId="9" hidden="1">3</definedName>
    <definedName name="solver_rel6" localSheetId="9" hidden="1">3</definedName>
    <definedName name="solver_rel7" localSheetId="9" hidden="1">3</definedName>
    <definedName name="solver_rel8" localSheetId="9" hidden="1">3</definedName>
    <definedName name="solver_rel9" localSheetId="9" hidden="1">3</definedName>
    <definedName name="solver_rhs1" localSheetId="2" hidden="1">Assignment.!$E$18:$H$18</definedName>
    <definedName name="solver_rhs1" localSheetId="9" hidden="1">'Critical Path Method'!$K$23</definedName>
    <definedName name="solver_rhs1" localSheetId="3" hidden="1">'Maximum Flow'!$F$4:$F$15</definedName>
    <definedName name="solver_rhs1" localSheetId="4" hidden="1">'Maximum Flow (2)'!$F$4:$F$11</definedName>
    <definedName name="solver_rhs1" localSheetId="5" hidden="1">'Maximum Flow (3)'!$F$4:$F$19</definedName>
    <definedName name="solver_rhs1" localSheetId="8" hidden="1">'Minimum Cost Flow'!$E$4</definedName>
    <definedName name="solver_rhs1" localSheetId="6" hidden="1">binary</definedName>
    <definedName name="solver_rhs1" localSheetId="0" hidden="1">'Transport 1'!$E$19:$H$19</definedName>
    <definedName name="solver_rhs1" localSheetId="1" hidden="1">'Transport 2'!$E$19:$H$19</definedName>
    <definedName name="solver_rhs10" localSheetId="9" hidden="1">'Critical Path Method'!$L$11</definedName>
    <definedName name="solver_rhs11" localSheetId="9" hidden="1">'Critical Path Method'!$L$14</definedName>
    <definedName name="solver_rhs12" localSheetId="9" hidden="1">'Critical Path Method'!$L$15</definedName>
    <definedName name="solver_rhs13" localSheetId="9" hidden="1">'Critical Path Method'!$L$15</definedName>
    <definedName name="solver_rhs14" localSheetId="9" hidden="1">'Critical Path Method'!$L$13</definedName>
    <definedName name="solver_rhs15" localSheetId="9" hidden="1">'Critical Path Method'!$L$16</definedName>
    <definedName name="solver_rhs16" localSheetId="9" hidden="1">'Critical Path Method'!$L$17</definedName>
    <definedName name="solver_rhs17" localSheetId="9" hidden="1">'Critical Path Method'!$L$6</definedName>
    <definedName name="solver_rhs18" localSheetId="9" hidden="1">'Critical Path Method'!$L$7</definedName>
    <definedName name="solver_rhs19" localSheetId="9" hidden="1">'Critical Path Method'!$L$8</definedName>
    <definedName name="solver_rhs2" localSheetId="2" hidden="1">Assignment.!$K$13:$K$15</definedName>
    <definedName name="solver_rhs2" localSheetId="9" hidden="1">'Critical Path Method'!$L$18</definedName>
    <definedName name="solver_rhs2" localSheetId="3" hidden="1">'Maximum Flow'!$L$5:$L$9</definedName>
    <definedName name="solver_rhs2" localSheetId="4" hidden="1">'Maximum Flow (2)'!$L$5:$L$8</definedName>
    <definedName name="solver_rhs2" localSheetId="5" hidden="1">'Maximum Flow (3)'!$L$5:$L$11</definedName>
    <definedName name="solver_rhs2" localSheetId="8" hidden="1">'Minimum Cost Flow'!$E$8</definedName>
    <definedName name="solver_rhs2" localSheetId="6" hidden="1">'Shortest Path'!$K$4:$K$10</definedName>
    <definedName name="solver_rhs2" localSheetId="0" hidden="1">'Transport 1'!$K$14:$K$16</definedName>
    <definedName name="solver_rhs2" localSheetId="1" hidden="1">'Transport 2'!$K$14:$K$16</definedName>
    <definedName name="solver_rhs20" localSheetId="9" hidden="1">'Critical Path Method'!$H$6:$H$19</definedName>
    <definedName name="solver_rhs3" localSheetId="9" hidden="1">'Critical Path Method'!$L$19</definedName>
    <definedName name="solver_rhs3" localSheetId="8" hidden="1">'Minimum Cost Flow'!$I$4:$I$8</definedName>
    <definedName name="solver_rhs4" localSheetId="9" hidden="1">'Critical Path Method'!$L$8</definedName>
    <definedName name="solver_rhs5" localSheetId="9" hidden="1">'Critical Path Method'!$L$10</definedName>
    <definedName name="solver_rhs6" localSheetId="9" hidden="1">'Critical Path Method'!$L$9</definedName>
    <definedName name="solver_rhs7" localSheetId="9" hidden="1">'Critical Path Method'!$L$10</definedName>
    <definedName name="solver_rhs8" localSheetId="9" hidden="1">'Critical Path Method'!$L$12</definedName>
    <definedName name="solver_rhs9" localSheetId="9" hidden="1">'Critical Path Method'!$L$8</definedName>
    <definedName name="solver_rlx" localSheetId="2" hidden="1">2</definedName>
    <definedName name="solver_rlx" localSheetId="9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8" hidden="1">2</definedName>
    <definedName name="solver_rlx" localSheetId="6" hidden="1">2</definedName>
    <definedName name="solver_rlx" localSheetId="0" hidden="1">2</definedName>
    <definedName name="solver_rlx" localSheetId="1" hidden="1">2</definedName>
    <definedName name="solver_rsd" localSheetId="2" hidden="1">0</definedName>
    <definedName name="solver_rsd" localSheetId="9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8" hidden="1">0</definedName>
    <definedName name="solver_rsd" localSheetId="6" hidden="1">0</definedName>
    <definedName name="solver_rsd" localSheetId="0" hidden="1">0</definedName>
    <definedName name="solver_rsd" localSheetId="1" hidden="1">0</definedName>
    <definedName name="solver_scl" localSheetId="2" hidden="1">1</definedName>
    <definedName name="solver_scl" localSheetId="9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8" hidden="1">1</definedName>
    <definedName name="solver_scl" localSheetId="6" hidden="1">1</definedName>
    <definedName name="solver_scl" localSheetId="0" hidden="1">1</definedName>
    <definedName name="solver_scl" localSheetId="1" hidden="1">1</definedName>
    <definedName name="solver_sho" localSheetId="2" hidden="1">2</definedName>
    <definedName name="solver_sho" localSheetId="9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8" hidden="1">2</definedName>
    <definedName name="solver_sho" localSheetId="6" hidden="1">2</definedName>
    <definedName name="solver_sho" localSheetId="0" hidden="1">2</definedName>
    <definedName name="solver_sho" localSheetId="1" hidden="1">2</definedName>
    <definedName name="solver_ssz" localSheetId="2" hidden="1">100</definedName>
    <definedName name="solver_ssz" localSheetId="9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8" hidden="1">100</definedName>
    <definedName name="solver_ssz" localSheetId="6" hidden="1">100</definedName>
    <definedName name="solver_ssz" localSheetId="0" hidden="1">100</definedName>
    <definedName name="solver_ssz" localSheetId="1" hidden="1">100</definedName>
    <definedName name="solver_tim" localSheetId="2" hidden="1">2147483647</definedName>
    <definedName name="solver_tim" localSheetId="9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8" hidden="1">2147483647</definedName>
    <definedName name="solver_tim" localSheetId="6" hidden="1">2147483647</definedName>
    <definedName name="solver_tim" localSheetId="0" hidden="1">2147483647</definedName>
    <definedName name="solver_tim" localSheetId="1" hidden="1">2147483647</definedName>
    <definedName name="solver_tol" localSheetId="2" hidden="1">0.01</definedName>
    <definedName name="solver_tol" localSheetId="9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8" hidden="1">0.01</definedName>
    <definedName name="solver_tol" localSheetId="6" hidden="1">0.01</definedName>
    <definedName name="solver_tol" localSheetId="0" hidden="1">0.01</definedName>
    <definedName name="solver_tol" localSheetId="1" hidden="1">0.01</definedName>
    <definedName name="solver_typ" localSheetId="2" hidden="1">2</definedName>
    <definedName name="solver_typ" localSheetId="9" hidden="1">2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8" hidden="1">2</definedName>
    <definedName name="solver_typ" localSheetId="6" hidden="1">2</definedName>
    <definedName name="solver_typ" localSheetId="0" hidden="1">2</definedName>
    <definedName name="solver_typ" localSheetId="1" hidden="1">2</definedName>
    <definedName name="solver_val" localSheetId="2" hidden="1">0</definedName>
    <definedName name="solver_val" localSheetId="9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8" hidden="1">0</definedName>
    <definedName name="solver_val" localSheetId="6" hidden="1">0</definedName>
    <definedName name="solver_val" localSheetId="0" hidden="1">0</definedName>
    <definedName name="solver_val" localSheetId="1" hidden="1">0</definedName>
    <definedName name="solver_ver" localSheetId="2" hidden="1">3</definedName>
    <definedName name="solver_ver" localSheetId="9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8" hidden="1">3</definedName>
    <definedName name="solver_ver" localSheetId="6" hidden="1">3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3" l="1"/>
  <c r="L8" i="13"/>
  <c r="L9" i="13"/>
  <c r="L10" i="13"/>
  <c r="L11" i="13"/>
  <c r="L12" i="13"/>
  <c r="L13" i="13"/>
  <c r="L14" i="13"/>
  <c r="L15" i="13"/>
  <c r="L16" i="13"/>
  <c r="L17" i="13"/>
  <c r="L18" i="13"/>
  <c r="L19" i="13"/>
  <c r="L6" i="13"/>
  <c r="I26" i="13" l="1"/>
  <c r="I7" i="13"/>
  <c r="I8" i="13"/>
  <c r="I9" i="13"/>
  <c r="I10" i="13"/>
  <c r="I11" i="13"/>
  <c r="I12" i="13"/>
  <c r="I13" i="13"/>
  <c r="I14" i="13"/>
  <c r="H7" i="13"/>
  <c r="H8" i="13"/>
  <c r="H9" i="13"/>
  <c r="H10" i="13"/>
  <c r="H11" i="13"/>
  <c r="H12" i="13"/>
  <c r="H13" i="13"/>
  <c r="H14" i="13"/>
  <c r="H15" i="13"/>
  <c r="I15" i="13" s="1"/>
  <c r="H16" i="13"/>
  <c r="I16" i="13" s="1"/>
  <c r="H17" i="13"/>
  <c r="I17" i="13" s="1"/>
  <c r="H18" i="13"/>
  <c r="I18" i="13" s="1"/>
  <c r="H19" i="13"/>
  <c r="I19" i="13" s="1"/>
  <c r="H6" i="13"/>
  <c r="I6" i="13" s="1"/>
  <c r="E12" i="12"/>
  <c r="H5" i="12"/>
  <c r="H6" i="12"/>
  <c r="H7" i="12"/>
  <c r="H8" i="12"/>
  <c r="H4" i="12"/>
  <c r="E17" i="11" l="1"/>
  <c r="I5" i="9" l="1"/>
  <c r="I6" i="9"/>
  <c r="I7" i="9"/>
  <c r="I8" i="9"/>
  <c r="I9" i="9"/>
  <c r="I10" i="9"/>
  <c r="I11" i="9"/>
  <c r="I12" i="9"/>
  <c r="I4" i="9"/>
  <c r="H5" i="9"/>
  <c r="H6" i="9"/>
  <c r="H7" i="9"/>
  <c r="H8" i="9"/>
  <c r="H9" i="9"/>
  <c r="H10" i="9"/>
  <c r="H11" i="9"/>
  <c r="H12" i="9"/>
  <c r="H4" i="9"/>
  <c r="I5" i="8"/>
  <c r="I6" i="8"/>
  <c r="I7" i="8"/>
  <c r="I8" i="8"/>
  <c r="I9" i="8"/>
  <c r="I4" i="8"/>
  <c r="H5" i="8"/>
  <c r="H6" i="8"/>
  <c r="H7" i="8"/>
  <c r="H8" i="8"/>
  <c r="H9" i="8"/>
  <c r="H4" i="8"/>
  <c r="I4" i="6"/>
  <c r="H5" i="6"/>
  <c r="H6" i="6"/>
  <c r="H7" i="6"/>
  <c r="H8" i="6"/>
  <c r="H9" i="6"/>
  <c r="H10" i="6"/>
  <c r="H4" i="6"/>
  <c r="H9" i="5"/>
  <c r="H10" i="5"/>
  <c r="H8" i="5"/>
  <c r="H7" i="5"/>
  <c r="H6" i="5"/>
  <c r="H5" i="5"/>
  <c r="H4" i="5"/>
  <c r="G10" i="5"/>
  <c r="G9" i="5"/>
  <c r="G8" i="5"/>
  <c r="G7" i="5"/>
  <c r="G6" i="5"/>
  <c r="G5" i="5"/>
  <c r="G4" i="5"/>
  <c r="I5" i="6"/>
  <c r="I6" i="6"/>
  <c r="I7" i="6"/>
  <c r="I8" i="6"/>
  <c r="I9" i="6"/>
  <c r="I10" i="6"/>
  <c r="E16" i="5"/>
  <c r="J9" i="9" l="1"/>
  <c r="J7" i="9"/>
  <c r="J5" i="9"/>
  <c r="J6" i="9"/>
  <c r="J8" i="9"/>
  <c r="J11" i="9"/>
  <c r="J12" i="9"/>
  <c r="J10" i="9"/>
  <c r="J4" i="9"/>
  <c r="F22" i="9" s="1"/>
  <c r="J9" i="8"/>
  <c r="J5" i="8"/>
  <c r="J8" i="8"/>
  <c r="J4" i="8"/>
  <c r="F17" i="8" s="1"/>
  <c r="J6" i="8"/>
  <c r="J7" i="8"/>
  <c r="J7" i="6"/>
  <c r="J6" i="6"/>
  <c r="J4" i="6"/>
  <c r="F17" i="6" s="1"/>
  <c r="J9" i="6"/>
  <c r="J8" i="6"/>
  <c r="J10" i="6"/>
  <c r="J5" i="6"/>
  <c r="I6" i="5"/>
  <c r="I4" i="5"/>
  <c r="I5" i="5"/>
  <c r="I10" i="5"/>
  <c r="I9" i="5"/>
  <c r="I8" i="5"/>
  <c r="I7" i="5"/>
  <c r="F20" i="4"/>
  <c r="H16" i="4"/>
  <c r="G16" i="4"/>
  <c r="F16" i="4"/>
  <c r="E16" i="4"/>
  <c r="I15" i="4"/>
  <c r="I14" i="4"/>
  <c r="I13" i="4"/>
  <c r="F21" i="3"/>
  <c r="H17" i="3"/>
  <c r="G17" i="3"/>
  <c r="F17" i="3"/>
  <c r="E17" i="3"/>
  <c r="I16" i="3"/>
  <c r="I15" i="3"/>
  <c r="I14" i="3"/>
  <c r="F21" i="1" l="1"/>
  <c r="H17" i="1"/>
  <c r="F17" i="1"/>
  <c r="G17" i="1"/>
  <c r="E17" i="1"/>
  <c r="I15" i="1"/>
  <c r="I16" i="1"/>
  <c r="I14" i="1"/>
</calcChain>
</file>

<file path=xl/sharedStrings.xml><?xml version="1.0" encoding="utf-8"?>
<sst xmlns="http://schemas.openxmlformats.org/spreadsheetml/2006/main" count="433" uniqueCount="133">
  <si>
    <t xml:space="preserve">Unit Cost </t>
  </si>
  <si>
    <t>Destination</t>
  </si>
  <si>
    <t>Source</t>
  </si>
  <si>
    <t>Bellingham</t>
  </si>
  <si>
    <t>Eugene</t>
  </si>
  <si>
    <t>Albert Lea</t>
  </si>
  <si>
    <t>Sacramento</t>
  </si>
  <si>
    <t>Salt Lake City</t>
  </si>
  <si>
    <t>Rapid City</t>
  </si>
  <si>
    <t>Albuquerque</t>
  </si>
  <si>
    <t>Shipment Quantity</t>
  </si>
  <si>
    <t>(Truckloads)</t>
  </si>
  <si>
    <t>(Cannery)</t>
  </si>
  <si>
    <t>Total Recieved</t>
  </si>
  <si>
    <t>Total Shipped</t>
  </si>
  <si>
    <t>Destination(Warehouse)</t>
  </si>
  <si>
    <t>Supply</t>
  </si>
  <si>
    <t>Demand</t>
  </si>
  <si>
    <t>Practical-1: Transportation Problem</t>
  </si>
  <si>
    <t>=</t>
  </si>
  <si>
    <t>Total Cost</t>
  </si>
  <si>
    <t>Practical 2 : Assignment Problem</t>
  </si>
  <si>
    <t>Jobs</t>
  </si>
  <si>
    <t>Workers</t>
  </si>
  <si>
    <t>J1</t>
  </si>
  <si>
    <t>J2</t>
  </si>
  <si>
    <t>J3</t>
  </si>
  <si>
    <t>J4</t>
  </si>
  <si>
    <t>W1</t>
  </si>
  <si>
    <t>W2</t>
  </si>
  <si>
    <t>W3</t>
  </si>
  <si>
    <t>Example 1</t>
  </si>
  <si>
    <t>Example 2</t>
  </si>
  <si>
    <t>Berdoo</t>
  </si>
  <si>
    <t>Los Devils</t>
  </si>
  <si>
    <t>San Go</t>
  </si>
  <si>
    <t xml:space="preserve"> Hollyglass</t>
  </si>
  <si>
    <t>Colombo River</t>
  </si>
  <si>
    <t>Calorie River</t>
  </si>
  <si>
    <t>Sacron River</t>
  </si>
  <si>
    <t xml:space="preserve">From  </t>
  </si>
  <si>
    <t>To</t>
  </si>
  <si>
    <t>On Route</t>
  </si>
  <si>
    <t>Cost</t>
  </si>
  <si>
    <t>Nodes</t>
  </si>
  <si>
    <t xml:space="preserve">Flow In </t>
  </si>
  <si>
    <t>Flow Out</t>
  </si>
  <si>
    <t>O</t>
  </si>
  <si>
    <t>A</t>
  </si>
  <si>
    <t>B</t>
  </si>
  <si>
    <t>C</t>
  </si>
  <si>
    <t>D</t>
  </si>
  <si>
    <t>E</t>
  </si>
  <si>
    <t>T</t>
  </si>
  <si>
    <t>Net Flow</t>
  </si>
  <si>
    <t xml:space="preserve">Sign </t>
  </si>
  <si>
    <t>RHS</t>
  </si>
  <si>
    <t>Path Followed</t>
  </si>
  <si>
    <t>O-C-E-T</t>
  </si>
  <si>
    <r>
      <t>X</t>
    </r>
    <r>
      <rPr>
        <b/>
        <sz val="10"/>
        <color theme="1"/>
        <rFont val="Calibri"/>
        <family val="2"/>
        <scheme val="minor"/>
      </rPr>
      <t>ij</t>
    </r>
  </si>
  <si>
    <t>Capacity</t>
  </si>
  <si>
    <t>Flow In</t>
  </si>
  <si>
    <t>&lt;=</t>
  </si>
  <si>
    <t xml:space="preserve">Net Flow </t>
  </si>
  <si>
    <t>Maximum Flow</t>
  </si>
  <si>
    <t>Practical 3 : Maximum Flow Problem</t>
  </si>
  <si>
    <t>Question 2:</t>
  </si>
  <si>
    <t>Question 3:</t>
  </si>
  <si>
    <t>S</t>
  </si>
  <si>
    <t>V1</t>
  </si>
  <si>
    <t>V2</t>
  </si>
  <si>
    <t>V3</t>
  </si>
  <si>
    <t>V4</t>
  </si>
  <si>
    <t>V5</t>
  </si>
  <si>
    <t>V6</t>
  </si>
  <si>
    <t>V7</t>
  </si>
  <si>
    <t>Practical 4 : Shortest Path Problem</t>
  </si>
  <si>
    <t>Practical 5 : Minimum Spanning Tree</t>
  </si>
  <si>
    <t>Edges</t>
  </si>
  <si>
    <t>Length</t>
  </si>
  <si>
    <t>Decision</t>
  </si>
  <si>
    <t>Closed-Loop</t>
  </si>
  <si>
    <t>Included Length</t>
  </si>
  <si>
    <t>Node</t>
  </si>
  <si>
    <t>Included ?</t>
  </si>
  <si>
    <t>O-A</t>
  </si>
  <si>
    <t>O-B</t>
  </si>
  <si>
    <t>O-C</t>
  </si>
  <si>
    <t>A-B</t>
  </si>
  <si>
    <t>A-D</t>
  </si>
  <si>
    <t>B-C</t>
  </si>
  <si>
    <t>B-D</t>
  </si>
  <si>
    <t>B-E</t>
  </si>
  <si>
    <t>D-T</t>
  </si>
  <si>
    <t>C-E</t>
  </si>
  <si>
    <t>D-E</t>
  </si>
  <si>
    <t>E-T</t>
  </si>
  <si>
    <t>Include</t>
  </si>
  <si>
    <t>--</t>
  </si>
  <si>
    <t>Not-Include</t>
  </si>
  <si>
    <t>0-A-B-C-O</t>
  </si>
  <si>
    <t>B-E-D-B</t>
  </si>
  <si>
    <t>C-E-B-C</t>
  </si>
  <si>
    <t>O-B-A-O</t>
  </si>
  <si>
    <t>Include and Stop</t>
  </si>
  <si>
    <t>Min.Length</t>
  </si>
  <si>
    <t>Practical 6 : Minimum Cost Flow</t>
  </si>
  <si>
    <t>Ship</t>
  </si>
  <si>
    <t>Arc Capacity</t>
  </si>
  <si>
    <t>Unit Cost</t>
  </si>
  <si>
    <t>Supply/Demand</t>
  </si>
  <si>
    <t>time</t>
  </si>
  <si>
    <t>cost</t>
  </si>
  <si>
    <t>normal</t>
  </si>
  <si>
    <t>crash</t>
  </si>
  <si>
    <t>maximum reduction in time</t>
  </si>
  <si>
    <t>activity</t>
  </si>
  <si>
    <t>crash cost per week saved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</si>
  <si>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</si>
  <si>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</si>
  <si>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</si>
  <si>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</si>
  <si>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</si>
  <si>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</si>
  <si>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</si>
  <si>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</si>
  <si>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</si>
  <si>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START TIME</t>
  </si>
  <si>
    <t>TIME REDUCTION</t>
  </si>
  <si>
    <t>FINISH TIME</t>
  </si>
  <si>
    <t>MAX TIME</t>
  </si>
  <si>
    <t xml:space="preserve">PROJECT FINISH TIME = </t>
  </si>
  <si>
    <t>TOTAL COST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</si>
</sst>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5" borderId="0" xfId="0" applyFill="1"/>
    <xf numFmtId="0" fontId="0" fillId="8" borderId="0" xfId="0" applyFill="1"/>
    <xf numFmtId="0" fontId="0" fillId="9" borderId="0" xfId="0" applyFill="1"/>
    <xf numFmtId="0" fontId="0" fillId="0" borderId="1" xfId="0" applyBorder="1"/>
    <xf numFmtId="0" fontId="0" fillId="6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9" borderId="1" xfId="0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" fillId="14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18" borderId="1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0" borderId="3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1" borderId="3" xfId="0" applyFill="1" applyBorder="1" applyAlignment="1">
      <alignment horizontal="center"/>
    </xf>
    <xf numFmtId="0" fontId="0" fillId="13" borderId="1" xfId="0" applyFill="1" applyBorder="1"/>
    <xf numFmtId="0" fontId="1" fillId="14" borderId="6" xfId="0" applyFont="1" applyFill="1" applyBorder="1" applyAlignment="1">
      <alignment horizontal="center" vertical="center"/>
    </xf>
    <xf numFmtId="0" fontId="0" fillId="11" borderId="0" xfId="0" applyFill="1"/>
    <xf numFmtId="0" fontId="0" fillId="1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11</xdr:row>
      <xdr:rowOff>180975</xdr:rowOff>
    </xdr:from>
    <xdr:to>
      <xdr:col>14</xdr:col>
      <xdr:colOff>419100</xdr:colOff>
      <xdr:row>14</xdr:row>
      <xdr:rowOff>180975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8963025" y="2276475"/>
          <a:ext cx="533400" cy="571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O</a:t>
          </a:r>
        </a:p>
      </xdr:txBody>
    </xdr:sp>
    <xdr:clientData/>
  </xdr:twoCellAnchor>
  <xdr:twoCellAnchor>
    <xdr:from>
      <xdr:col>16</xdr:col>
      <xdr:colOff>1</xdr:colOff>
      <xdr:row>8</xdr:row>
      <xdr:rowOff>19049</xdr:rowOff>
    </xdr:from>
    <xdr:to>
      <xdr:col>16</xdr:col>
      <xdr:colOff>466725</xdr:colOff>
      <xdr:row>10</xdr:row>
      <xdr:rowOff>104775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0296526" y="1543049"/>
          <a:ext cx="466724" cy="46672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</a:t>
          </a:r>
        </a:p>
      </xdr:txBody>
    </xdr:sp>
    <xdr:clientData/>
  </xdr:twoCellAnchor>
  <xdr:twoCellAnchor>
    <xdr:from>
      <xdr:col>15</xdr:col>
      <xdr:colOff>390525</xdr:colOff>
      <xdr:row>17</xdr:row>
      <xdr:rowOff>47625</xdr:rowOff>
    </xdr:from>
    <xdr:to>
      <xdr:col>16</xdr:col>
      <xdr:colOff>219075</xdr:colOff>
      <xdr:row>19</xdr:row>
      <xdr:rowOff>123825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0077450" y="3286125"/>
          <a:ext cx="438150" cy="457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</a:t>
          </a:r>
        </a:p>
      </xdr:txBody>
    </xdr:sp>
    <xdr:clientData/>
  </xdr:twoCellAnchor>
  <xdr:twoCellAnchor>
    <xdr:from>
      <xdr:col>16</xdr:col>
      <xdr:colOff>476250</xdr:colOff>
      <xdr:row>13</xdr:row>
      <xdr:rowOff>0</xdr:rowOff>
    </xdr:from>
    <xdr:to>
      <xdr:col>17</xdr:col>
      <xdr:colOff>314325</xdr:colOff>
      <xdr:row>15</xdr:row>
      <xdr:rowOff>95250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0772775" y="2476500"/>
          <a:ext cx="447675" cy="476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B</a:t>
          </a:r>
        </a:p>
      </xdr:txBody>
    </xdr:sp>
    <xdr:clientData/>
  </xdr:twoCellAnchor>
  <xdr:twoCellAnchor>
    <xdr:from>
      <xdr:col>18</xdr:col>
      <xdr:colOff>571500</xdr:colOff>
      <xdr:row>11</xdr:row>
      <xdr:rowOff>0</xdr:rowOff>
    </xdr:from>
    <xdr:to>
      <xdr:col>19</xdr:col>
      <xdr:colOff>485775</xdr:colOff>
      <xdr:row>13</xdr:row>
      <xdr:rowOff>123825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2830175" y="2095500"/>
          <a:ext cx="523875" cy="504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D</a:t>
          </a:r>
        </a:p>
      </xdr:txBody>
    </xdr:sp>
    <xdr:clientData/>
  </xdr:twoCellAnchor>
  <xdr:twoCellAnchor>
    <xdr:from>
      <xdr:col>18</xdr:col>
      <xdr:colOff>361950</xdr:colOff>
      <xdr:row>17</xdr:row>
      <xdr:rowOff>38100</xdr:rowOff>
    </xdr:from>
    <xdr:to>
      <xdr:col>19</xdr:col>
      <xdr:colOff>219075</xdr:colOff>
      <xdr:row>19</xdr:row>
      <xdr:rowOff>114300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2620625" y="3276600"/>
          <a:ext cx="466725" cy="457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E</a:t>
          </a:r>
        </a:p>
      </xdr:txBody>
    </xdr:sp>
    <xdr:clientData/>
  </xdr:twoCellAnchor>
  <xdr:twoCellAnchor>
    <xdr:from>
      <xdr:col>21</xdr:col>
      <xdr:colOff>247650</xdr:colOff>
      <xdr:row>11</xdr:row>
      <xdr:rowOff>133350</xdr:rowOff>
    </xdr:from>
    <xdr:to>
      <xdr:col>22</xdr:col>
      <xdr:colOff>200025</xdr:colOff>
      <xdr:row>14</xdr:row>
      <xdr:rowOff>114300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3592175" y="2228850"/>
          <a:ext cx="561975" cy="552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</a:t>
          </a:r>
        </a:p>
      </xdr:txBody>
    </xdr:sp>
    <xdr:clientData/>
  </xdr:twoCellAnchor>
  <xdr:twoCellAnchor>
    <xdr:from>
      <xdr:col>14</xdr:col>
      <xdr:colOff>340985</xdr:colOff>
      <xdr:row>10</xdr:row>
      <xdr:rowOff>36425</xdr:rowOff>
    </xdr:from>
    <xdr:to>
      <xdr:col>16</xdr:col>
      <xdr:colOff>68351</xdr:colOff>
      <xdr:row>12</xdr:row>
      <xdr:rowOff>74169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>
          <a:stCxn id="2" idx="7"/>
          <a:endCxn id="3" idx="3"/>
        </xdr:cNvCxnSpPr>
      </xdr:nvCxnSpPr>
      <xdr:spPr>
        <a:xfrm flipV="1">
          <a:off x="9418310" y="1941425"/>
          <a:ext cx="946566" cy="418744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340985</xdr:colOff>
      <xdr:row>14</xdr:row>
      <xdr:rowOff>97281</xdr:rowOff>
    </xdr:from>
    <xdr:to>
      <xdr:col>15</xdr:col>
      <xdr:colOff>454691</xdr:colOff>
      <xdr:row>17</xdr:row>
      <xdr:rowOff>114580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>
          <a:stCxn id="2" idx="5"/>
          <a:endCxn id="4" idx="1"/>
        </xdr:cNvCxnSpPr>
      </xdr:nvCxnSpPr>
      <xdr:spPr>
        <a:xfrm>
          <a:off x="9418310" y="2764281"/>
          <a:ext cx="723306" cy="588799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419100</xdr:colOff>
      <xdr:row>13</xdr:row>
      <xdr:rowOff>85725</xdr:rowOff>
    </xdr:from>
    <xdr:to>
      <xdr:col>16</xdr:col>
      <xdr:colOff>476250</xdr:colOff>
      <xdr:row>14</xdr:row>
      <xdr:rowOff>47625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>
          <a:stCxn id="2" idx="6"/>
          <a:endCxn id="5" idx="2"/>
        </xdr:cNvCxnSpPr>
      </xdr:nvCxnSpPr>
      <xdr:spPr>
        <a:xfrm>
          <a:off x="9496425" y="2562225"/>
          <a:ext cx="1276350" cy="1524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398375</xdr:colOff>
      <xdr:row>10</xdr:row>
      <xdr:rowOff>36425</xdr:rowOff>
    </xdr:from>
    <xdr:to>
      <xdr:col>16</xdr:col>
      <xdr:colOff>541810</xdr:colOff>
      <xdr:row>13</xdr:row>
      <xdr:rowOff>69745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>
          <a:stCxn id="3" idx="5"/>
          <a:endCxn id="5" idx="1"/>
        </xdr:cNvCxnSpPr>
      </xdr:nvCxnSpPr>
      <xdr:spPr>
        <a:xfrm>
          <a:off x="10694900" y="1941425"/>
          <a:ext cx="143435" cy="6048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154909</xdr:colOff>
      <xdr:row>15</xdr:row>
      <xdr:rowOff>25505</xdr:rowOff>
    </xdr:from>
    <xdr:to>
      <xdr:col>16</xdr:col>
      <xdr:colOff>541810</xdr:colOff>
      <xdr:row>17</xdr:row>
      <xdr:rowOff>114580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stCxn id="5" idx="3"/>
          <a:endCxn id="4" idx="7"/>
        </xdr:cNvCxnSpPr>
      </xdr:nvCxnSpPr>
      <xdr:spPr>
        <a:xfrm flipH="1">
          <a:off x="10451434" y="2883005"/>
          <a:ext cx="386901" cy="4700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466725</xdr:colOff>
      <xdr:row>9</xdr:row>
      <xdr:rowOff>61912</xdr:rowOff>
    </xdr:from>
    <xdr:to>
      <xdr:col>18</xdr:col>
      <xdr:colOff>571500</xdr:colOff>
      <xdr:row>12</xdr:row>
      <xdr:rowOff>61913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>
          <a:stCxn id="3" idx="6"/>
          <a:endCxn id="6" idx="2"/>
        </xdr:cNvCxnSpPr>
      </xdr:nvCxnSpPr>
      <xdr:spPr>
        <a:xfrm>
          <a:off x="11506200" y="1776412"/>
          <a:ext cx="1323975" cy="571501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18</xdr:row>
      <xdr:rowOff>76200</xdr:rowOff>
    </xdr:from>
    <xdr:to>
      <xdr:col>18</xdr:col>
      <xdr:colOff>361950</xdr:colOff>
      <xdr:row>18</xdr:row>
      <xdr:rowOff>85725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>
          <a:stCxn id="4" idx="6"/>
          <a:endCxn id="7" idx="2"/>
        </xdr:cNvCxnSpPr>
      </xdr:nvCxnSpPr>
      <xdr:spPr>
        <a:xfrm flipV="1">
          <a:off x="11258550" y="3505200"/>
          <a:ext cx="1362075" cy="95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314325</xdr:colOff>
      <xdr:row>12</xdr:row>
      <xdr:rowOff>61913</xdr:rowOff>
    </xdr:from>
    <xdr:to>
      <xdr:col>18</xdr:col>
      <xdr:colOff>571500</xdr:colOff>
      <xdr:row>14</xdr:row>
      <xdr:rowOff>47625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CxnSpPr>
          <a:stCxn id="5" idx="6"/>
          <a:endCxn id="6" idx="2"/>
        </xdr:cNvCxnSpPr>
      </xdr:nvCxnSpPr>
      <xdr:spPr>
        <a:xfrm flipV="1">
          <a:off x="11963400" y="2347913"/>
          <a:ext cx="866775" cy="366712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248765</xdr:colOff>
      <xdr:row>15</xdr:row>
      <xdr:rowOff>25505</xdr:rowOff>
    </xdr:from>
    <xdr:to>
      <xdr:col>18</xdr:col>
      <xdr:colOff>430300</xdr:colOff>
      <xdr:row>17</xdr:row>
      <xdr:rowOff>105055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CxnSpPr>
          <a:stCxn id="5" idx="5"/>
          <a:endCxn id="7" idx="1"/>
        </xdr:cNvCxnSpPr>
      </xdr:nvCxnSpPr>
      <xdr:spPr>
        <a:xfrm>
          <a:off x="11897840" y="2883005"/>
          <a:ext cx="791135" cy="4605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150725</xdr:colOff>
      <xdr:row>13</xdr:row>
      <xdr:rowOff>123825</xdr:rowOff>
    </xdr:from>
    <xdr:to>
      <xdr:col>19</xdr:col>
      <xdr:colOff>223838</xdr:colOff>
      <xdr:row>17</xdr:row>
      <xdr:rowOff>105055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>
          <a:stCxn id="7" idx="7"/>
          <a:endCxn id="6" idx="4"/>
        </xdr:cNvCxnSpPr>
      </xdr:nvCxnSpPr>
      <xdr:spPr>
        <a:xfrm flipV="1">
          <a:off x="13019000" y="2600325"/>
          <a:ext cx="73113" cy="74323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485775</xdr:colOff>
      <xdr:row>12</xdr:row>
      <xdr:rowOff>61913</xdr:rowOff>
    </xdr:from>
    <xdr:to>
      <xdr:col>21</xdr:col>
      <xdr:colOff>247650</xdr:colOff>
      <xdr:row>13</xdr:row>
      <xdr:rowOff>28575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>
          <a:stCxn id="6" idx="6"/>
          <a:endCxn id="8" idx="2"/>
        </xdr:cNvCxnSpPr>
      </xdr:nvCxnSpPr>
      <xdr:spPr>
        <a:xfrm>
          <a:off x="13354050" y="2347913"/>
          <a:ext cx="981075" cy="157162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219075</xdr:colOff>
      <xdr:row>14</xdr:row>
      <xdr:rowOff>33396</xdr:rowOff>
    </xdr:from>
    <xdr:to>
      <xdr:col>21</xdr:col>
      <xdr:colOff>329949</xdr:colOff>
      <xdr:row>18</xdr:row>
      <xdr:rowOff>76200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CxnSpPr>
          <a:stCxn id="7" idx="6"/>
          <a:endCxn id="8" idx="3"/>
        </xdr:cNvCxnSpPr>
      </xdr:nvCxnSpPr>
      <xdr:spPr>
        <a:xfrm flipV="1">
          <a:off x="13087350" y="2700396"/>
          <a:ext cx="1330074" cy="804804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57150</xdr:colOff>
      <xdr:row>10</xdr:row>
      <xdr:rowOff>28575</xdr:rowOff>
    </xdr:from>
    <xdr:ext cx="256160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/>
      </xdr:nvSpPr>
      <xdr:spPr>
        <a:xfrm>
          <a:off x="10487025" y="19335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5</a:t>
          </a:r>
        </a:p>
      </xdr:txBody>
    </xdr:sp>
    <xdr:clientData/>
  </xdr:oneCellAnchor>
  <xdr:oneCellAnchor>
    <xdr:from>
      <xdr:col>15</xdr:col>
      <xdr:colOff>342900</xdr:colOff>
      <xdr:row>12</xdr:row>
      <xdr:rowOff>114300</xdr:rowOff>
    </xdr:from>
    <xdr:ext cx="256160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 txBox="1"/>
      </xdr:nvSpPr>
      <xdr:spPr>
        <a:xfrm>
          <a:off x="10772775" y="24003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7</a:t>
          </a:r>
        </a:p>
      </xdr:txBody>
    </xdr:sp>
    <xdr:clientData/>
  </xdr:oneCellAnchor>
  <xdr:oneCellAnchor>
    <xdr:from>
      <xdr:col>15</xdr:col>
      <xdr:colOff>123825</xdr:colOff>
      <xdr:row>15</xdr:row>
      <xdr:rowOff>47625</xdr:rowOff>
    </xdr:from>
    <xdr:ext cx="256160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 txBox="1"/>
      </xdr:nvSpPr>
      <xdr:spPr>
        <a:xfrm>
          <a:off x="10553700" y="29051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4</a:t>
          </a:r>
        </a:p>
      </xdr:txBody>
    </xdr:sp>
    <xdr:clientData/>
  </xdr:oneCellAnchor>
  <xdr:oneCellAnchor>
    <xdr:from>
      <xdr:col>16</xdr:col>
      <xdr:colOff>409575</xdr:colOff>
      <xdr:row>10</xdr:row>
      <xdr:rowOff>85725</xdr:rowOff>
    </xdr:from>
    <xdr:ext cx="256160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 txBox="1"/>
      </xdr:nvSpPr>
      <xdr:spPr>
        <a:xfrm>
          <a:off x="11449050" y="19907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1</a:t>
          </a:r>
        </a:p>
      </xdr:txBody>
    </xdr:sp>
    <xdr:clientData/>
  </xdr:oneCellAnchor>
  <xdr:oneCellAnchor>
    <xdr:from>
      <xdr:col>16</xdr:col>
      <xdr:colOff>171450</xdr:colOff>
      <xdr:row>15</xdr:row>
      <xdr:rowOff>38100</xdr:rowOff>
    </xdr:from>
    <xdr:ext cx="256160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 txBox="1"/>
      </xdr:nvSpPr>
      <xdr:spPr>
        <a:xfrm>
          <a:off x="11210925" y="28956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2</a:t>
          </a:r>
        </a:p>
      </xdr:txBody>
    </xdr:sp>
    <xdr:clientData/>
  </xdr:oneCellAnchor>
  <xdr:oneCellAnchor>
    <xdr:from>
      <xdr:col>17</xdr:col>
      <xdr:colOff>428625</xdr:colOff>
      <xdr:row>9</xdr:row>
      <xdr:rowOff>85725</xdr:rowOff>
    </xdr:from>
    <xdr:ext cx="256160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 txBox="1"/>
      </xdr:nvSpPr>
      <xdr:spPr>
        <a:xfrm>
          <a:off x="12077700" y="18002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3</a:t>
          </a:r>
        </a:p>
      </xdr:txBody>
    </xdr:sp>
    <xdr:clientData/>
  </xdr:oneCellAnchor>
  <xdr:oneCellAnchor>
    <xdr:from>
      <xdr:col>17</xdr:col>
      <xdr:colOff>419100</xdr:colOff>
      <xdr:row>12</xdr:row>
      <xdr:rowOff>104775</xdr:rowOff>
    </xdr:from>
    <xdr:ext cx="256160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 txBox="1"/>
      </xdr:nvSpPr>
      <xdr:spPr>
        <a:xfrm>
          <a:off x="12068175" y="23907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4</a:t>
          </a:r>
        </a:p>
      </xdr:txBody>
    </xdr:sp>
    <xdr:clientData/>
  </xdr:oneCellAnchor>
  <xdr:oneCellAnchor>
    <xdr:from>
      <xdr:col>17</xdr:col>
      <xdr:colOff>47625</xdr:colOff>
      <xdr:row>17</xdr:row>
      <xdr:rowOff>19050</xdr:rowOff>
    </xdr:from>
    <xdr:ext cx="256160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 txBox="1"/>
      </xdr:nvSpPr>
      <xdr:spPr>
        <a:xfrm>
          <a:off x="11696700" y="32575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4</a:t>
          </a:r>
        </a:p>
      </xdr:txBody>
    </xdr:sp>
    <xdr:clientData/>
  </xdr:oneCellAnchor>
  <xdr:oneCellAnchor>
    <xdr:from>
      <xdr:col>17</xdr:col>
      <xdr:colOff>571500</xdr:colOff>
      <xdr:row>15</xdr:row>
      <xdr:rowOff>28575</xdr:rowOff>
    </xdr:from>
    <xdr:ext cx="256160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 txBox="1"/>
      </xdr:nvSpPr>
      <xdr:spPr>
        <a:xfrm>
          <a:off x="12220575" y="28860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5</a:t>
          </a:r>
        </a:p>
      </xdr:txBody>
    </xdr:sp>
    <xdr:clientData/>
  </xdr:oneCellAnchor>
  <xdr:oneCellAnchor>
    <xdr:from>
      <xdr:col>19</xdr:col>
      <xdr:colOff>152400</xdr:colOff>
      <xdr:row>14</xdr:row>
      <xdr:rowOff>161925</xdr:rowOff>
    </xdr:from>
    <xdr:ext cx="256160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 txBox="1"/>
      </xdr:nvSpPr>
      <xdr:spPr>
        <a:xfrm>
          <a:off x="13020675" y="28289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1</a:t>
          </a:r>
        </a:p>
      </xdr:txBody>
    </xdr:sp>
    <xdr:clientData/>
  </xdr:oneCellAnchor>
  <xdr:oneCellAnchor>
    <xdr:from>
      <xdr:col>20</xdr:col>
      <xdr:colOff>152400</xdr:colOff>
      <xdr:row>11</xdr:row>
      <xdr:rowOff>38100</xdr:rowOff>
    </xdr:from>
    <xdr:ext cx="256160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 txBox="1"/>
      </xdr:nvSpPr>
      <xdr:spPr>
        <a:xfrm>
          <a:off x="13630275" y="21336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9</a:t>
          </a:r>
        </a:p>
      </xdr:txBody>
    </xdr:sp>
    <xdr:clientData/>
  </xdr:oneCellAnchor>
  <xdr:oneCellAnchor>
    <xdr:from>
      <xdr:col>20</xdr:col>
      <xdr:colOff>28575</xdr:colOff>
      <xdr:row>15</xdr:row>
      <xdr:rowOff>57150</xdr:rowOff>
    </xdr:from>
    <xdr:ext cx="256160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 txBox="1"/>
      </xdr:nvSpPr>
      <xdr:spPr>
        <a:xfrm>
          <a:off x="13506450" y="29146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6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57150</xdr:colOff>
      <xdr:row>10</xdr:row>
      <xdr:rowOff>28575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10820400" y="1933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409575</xdr:colOff>
      <xdr:row>10</xdr:row>
      <xdr:rowOff>85725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11782425" y="199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57150</xdr:colOff>
      <xdr:row>10</xdr:row>
      <xdr:rowOff>28575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0820400" y="1933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409575</xdr:colOff>
      <xdr:row>10</xdr:row>
      <xdr:rowOff>85725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1782425" y="199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13</xdr:row>
      <xdr:rowOff>85726</xdr:rowOff>
    </xdr:from>
    <xdr:to>
      <xdr:col>15</xdr:col>
      <xdr:colOff>66675</xdr:colOff>
      <xdr:row>16</xdr:row>
      <xdr:rowOff>85726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9829800" y="2562226"/>
          <a:ext cx="533400" cy="571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O</a:t>
          </a:r>
        </a:p>
      </xdr:txBody>
    </xdr:sp>
    <xdr:clientData/>
  </xdr:twoCellAnchor>
  <xdr:twoCellAnchor>
    <xdr:from>
      <xdr:col>16</xdr:col>
      <xdr:colOff>257176</xdr:colOff>
      <xdr:row>9</xdr:row>
      <xdr:rowOff>114300</xdr:rowOff>
    </xdr:from>
    <xdr:to>
      <xdr:col>17</xdr:col>
      <xdr:colOff>114300</xdr:colOff>
      <xdr:row>12</xdr:row>
      <xdr:rowOff>9526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1163301" y="1828800"/>
          <a:ext cx="466724" cy="46672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</a:t>
          </a:r>
        </a:p>
      </xdr:txBody>
    </xdr:sp>
    <xdr:clientData/>
  </xdr:twoCellAnchor>
  <xdr:twoCellAnchor>
    <xdr:from>
      <xdr:col>16</xdr:col>
      <xdr:colOff>38100</xdr:colOff>
      <xdr:row>18</xdr:row>
      <xdr:rowOff>142876</xdr:rowOff>
    </xdr:from>
    <xdr:to>
      <xdr:col>16</xdr:col>
      <xdr:colOff>476250</xdr:colOff>
      <xdr:row>21</xdr:row>
      <xdr:rowOff>28576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0944225" y="3571876"/>
          <a:ext cx="438150" cy="457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</a:t>
          </a:r>
        </a:p>
      </xdr:txBody>
    </xdr:sp>
    <xdr:clientData/>
  </xdr:twoCellAnchor>
  <xdr:twoCellAnchor>
    <xdr:from>
      <xdr:col>17</xdr:col>
      <xdr:colOff>123825</xdr:colOff>
      <xdr:row>14</xdr:row>
      <xdr:rowOff>95251</xdr:rowOff>
    </xdr:from>
    <xdr:to>
      <xdr:col>17</xdr:col>
      <xdr:colOff>571500</xdr:colOff>
      <xdr:row>17</xdr:row>
      <xdr:rowOff>1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1639550" y="2762251"/>
          <a:ext cx="447675" cy="476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B</a:t>
          </a:r>
        </a:p>
      </xdr:txBody>
    </xdr:sp>
    <xdr:clientData/>
  </xdr:twoCellAnchor>
  <xdr:twoCellAnchor>
    <xdr:from>
      <xdr:col>19</xdr:col>
      <xdr:colOff>219075</xdr:colOff>
      <xdr:row>12</xdr:row>
      <xdr:rowOff>95251</xdr:rowOff>
    </xdr:from>
    <xdr:to>
      <xdr:col>20</xdr:col>
      <xdr:colOff>133350</xdr:colOff>
      <xdr:row>15</xdr:row>
      <xdr:rowOff>28576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2954000" y="2381251"/>
          <a:ext cx="523875" cy="504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D</a:t>
          </a:r>
        </a:p>
      </xdr:txBody>
    </xdr:sp>
    <xdr:clientData/>
  </xdr:twoCellAnchor>
  <xdr:twoCellAnchor>
    <xdr:from>
      <xdr:col>19</xdr:col>
      <xdr:colOff>9525</xdr:colOff>
      <xdr:row>18</xdr:row>
      <xdr:rowOff>133351</xdr:rowOff>
    </xdr:from>
    <xdr:to>
      <xdr:col>19</xdr:col>
      <xdr:colOff>476250</xdr:colOff>
      <xdr:row>21</xdr:row>
      <xdr:rowOff>19051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2744450" y="3562351"/>
          <a:ext cx="466725" cy="457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E</a:t>
          </a:r>
        </a:p>
      </xdr:txBody>
    </xdr:sp>
    <xdr:clientData/>
  </xdr:twoCellAnchor>
  <xdr:twoCellAnchor>
    <xdr:from>
      <xdr:col>21</xdr:col>
      <xdr:colOff>504825</xdr:colOff>
      <xdr:row>13</xdr:row>
      <xdr:rowOff>38101</xdr:rowOff>
    </xdr:from>
    <xdr:to>
      <xdr:col>22</xdr:col>
      <xdr:colOff>457200</xdr:colOff>
      <xdr:row>16</xdr:row>
      <xdr:rowOff>19051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4458950" y="2514601"/>
          <a:ext cx="561975" cy="552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</a:t>
          </a:r>
        </a:p>
      </xdr:txBody>
    </xdr:sp>
    <xdr:clientData/>
  </xdr:twoCellAnchor>
  <xdr:twoCellAnchor>
    <xdr:from>
      <xdr:col>14</xdr:col>
      <xdr:colOff>598160</xdr:colOff>
      <xdr:row>11</xdr:row>
      <xdr:rowOff>131676</xdr:rowOff>
    </xdr:from>
    <xdr:to>
      <xdr:col>16</xdr:col>
      <xdr:colOff>325526</xdr:colOff>
      <xdr:row>13</xdr:row>
      <xdr:rowOff>169420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>
          <a:stCxn id="2" idx="7"/>
          <a:endCxn id="3" idx="3"/>
        </xdr:cNvCxnSpPr>
      </xdr:nvCxnSpPr>
      <xdr:spPr>
        <a:xfrm flipV="1">
          <a:off x="10285085" y="2227176"/>
          <a:ext cx="946566" cy="418744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598160</xdr:colOff>
      <xdr:row>16</xdr:row>
      <xdr:rowOff>2032</xdr:rowOff>
    </xdr:from>
    <xdr:to>
      <xdr:col>16</xdr:col>
      <xdr:colOff>102266</xdr:colOff>
      <xdr:row>19</xdr:row>
      <xdr:rowOff>19331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>
          <a:stCxn id="2" idx="5"/>
          <a:endCxn id="4" idx="1"/>
        </xdr:cNvCxnSpPr>
      </xdr:nvCxnSpPr>
      <xdr:spPr>
        <a:xfrm>
          <a:off x="10285085" y="3050032"/>
          <a:ext cx="723306" cy="588799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412084</xdr:colOff>
      <xdr:row>16</xdr:row>
      <xdr:rowOff>120756</xdr:rowOff>
    </xdr:from>
    <xdr:to>
      <xdr:col>17</xdr:col>
      <xdr:colOff>189385</xdr:colOff>
      <xdr:row>19</xdr:row>
      <xdr:rowOff>19331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>
          <a:stCxn id="5" idx="3"/>
          <a:endCxn id="4" idx="7"/>
        </xdr:cNvCxnSpPr>
      </xdr:nvCxnSpPr>
      <xdr:spPr>
        <a:xfrm flipH="1">
          <a:off x="11318209" y="3168756"/>
          <a:ext cx="386901" cy="4700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114300</xdr:colOff>
      <xdr:row>10</xdr:row>
      <xdr:rowOff>157163</xdr:rowOff>
    </xdr:from>
    <xdr:to>
      <xdr:col>19</xdr:col>
      <xdr:colOff>219075</xdr:colOff>
      <xdr:row>13</xdr:row>
      <xdr:rowOff>157164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>
          <a:stCxn id="3" idx="6"/>
          <a:endCxn id="6" idx="2"/>
        </xdr:cNvCxnSpPr>
      </xdr:nvCxnSpPr>
      <xdr:spPr>
        <a:xfrm>
          <a:off x="11630025" y="2062163"/>
          <a:ext cx="1323975" cy="571501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571500</xdr:colOff>
      <xdr:row>13</xdr:row>
      <xdr:rowOff>157164</xdr:rowOff>
    </xdr:from>
    <xdr:to>
      <xdr:col>19</xdr:col>
      <xdr:colOff>219075</xdr:colOff>
      <xdr:row>15</xdr:row>
      <xdr:rowOff>142876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stCxn id="5" idx="6"/>
          <a:endCxn id="6" idx="2"/>
        </xdr:cNvCxnSpPr>
      </xdr:nvCxnSpPr>
      <xdr:spPr>
        <a:xfrm flipV="1">
          <a:off x="12087225" y="2633664"/>
          <a:ext cx="866775" cy="366712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505940</xdr:colOff>
      <xdr:row>16</xdr:row>
      <xdr:rowOff>120756</xdr:rowOff>
    </xdr:from>
    <xdr:to>
      <xdr:col>19</xdr:col>
      <xdr:colOff>77875</xdr:colOff>
      <xdr:row>19</xdr:row>
      <xdr:rowOff>9806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>
          <a:stCxn id="5" idx="5"/>
          <a:endCxn id="7" idx="1"/>
        </xdr:cNvCxnSpPr>
      </xdr:nvCxnSpPr>
      <xdr:spPr>
        <a:xfrm>
          <a:off x="12021665" y="3168756"/>
          <a:ext cx="791135" cy="4605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407900</xdr:colOff>
      <xdr:row>15</xdr:row>
      <xdr:rowOff>28576</xdr:rowOff>
    </xdr:from>
    <xdr:to>
      <xdr:col>19</xdr:col>
      <xdr:colOff>481013</xdr:colOff>
      <xdr:row>19</xdr:row>
      <xdr:rowOff>9806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>
          <a:stCxn id="7" idx="7"/>
          <a:endCxn id="6" idx="4"/>
        </xdr:cNvCxnSpPr>
      </xdr:nvCxnSpPr>
      <xdr:spPr>
        <a:xfrm flipV="1">
          <a:off x="13142825" y="2886076"/>
          <a:ext cx="73113" cy="74323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133350</xdr:colOff>
      <xdr:row>13</xdr:row>
      <xdr:rowOff>157164</xdr:rowOff>
    </xdr:from>
    <xdr:to>
      <xdr:col>21</xdr:col>
      <xdr:colOff>504825</xdr:colOff>
      <xdr:row>14</xdr:row>
      <xdr:rowOff>123826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>
          <a:stCxn id="6" idx="6"/>
          <a:endCxn id="8" idx="2"/>
        </xdr:cNvCxnSpPr>
      </xdr:nvCxnSpPr>
      <xdr:spPr>
        <a:xfrm>
          <a:off x="13477875" y="2633664"/>
          <a:ext cx="981075" cy="157162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476250</xdr:colOff>
      <xdr:row>15</xdr:row>
      <xdr:rowOff>128647</xdr:rowOff>
    </xdr:from>
    <xdr:to>
      <xdr:col>21</xdr:col>
      <xdr:colOff>587124</xdr:colOff>
      <xdr:row>19</xdr:row>
      <xdr:rowOff>171451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>
          <a:stCxn id="7" idx="6"/>
          <a:endCxn id="8" idx="3"/>
        </xdr:cNvCxnSpPr>
      </xdr:nvCxnSpPr>
      <xdr:spPr>
        <a:xfrm flipV="1">
          <a:off x="13211175" y="2986147"/>
          <a:ext cx="1330074" cy="804804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66675</xdr:colOff>
      <xdr:row>14</xdr:row>
      <xdr:rowOff>180976</xdr:rowOff>
    </xdr:from>
    <xdr:to>
      <xdr:col>17</xdr:col>
      <xdr:colOff>123825</xdr:colOff>
      <xdr:row>15</xdr:row>
      <xdr:rowOff>142876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>
          <a:stCxn id="2" idx="6"/>
          <a:endCxn id="5" idx="2"/>
        </xdr:cNvCxnSpPr>
      </xdr:nvCxnSpPr>
      <xdr:spPr>
        <a:xfrm>
          <a:off x="10363200" y="2847976"/>
          <a:ext cx="1276350" cy="1524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490538</xdr:colOff>
      <xdr:row>12</xdr:row>
      <xdr:rowOff>9526</xdr:rowOff>
    </xdr:from>
    <xdr:to>
      <xdr:col>17</xdr:col>
      <xdr:colOff>189385</xdr:colOff>
      <xdr:row>14</xdr:row>
      <xdr:rowOff>164996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CxnSpPr>
          <a:stCxn id="3" idx="4"/>
          <a:endCxn id="5" idx="1"/>
        </xdr:cNvCxnSpPr>
      </xdr:nvCxnSpPr>
      <xdr:spPr>
        <a:xfrm>
          <a:off x="11396663" y="2295526"/>
          <a:ext cx="308447" cy="5364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476250</xdr:colOff>
      <xdr:row>19</xdr:row>
      <xdr:rowOff>171451</xdr:rowOff>
    </xdr:from>
    <xdr:to>
      <xdr:col>19</xdr:col>
      <xdr:colOff>9525</xdr:colOff>
      <xdr:row>19</xdr:row>
      <xdr:rowOff>180976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>
          <a:stCxn id="4" idx="6"/>
          <a:endCxn id="7" idx="2"/>
        </xdr:cNvCxnSpPr>
      </xdr:nvCxnSpPr>
      <xdr:spPr>
        <a:xfrm flipV="1">
          <a:off x="11382375" y="3790951"/>
          <a:ext cx="1362075" cy="95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266700</xdr:colOff>
      <xdr:row>11</xdr:row>
      <xdr:rowOff>133350</xdr:rowOff>
    </xdr:from>
    <xdr:ext cx="25616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/>
      </xdr:nvSpPr>
      <xdr:spPr>
        <a:xfrm>
          <a:off x="10563225" y="22288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5</a:t>
          </a:r>
        </a:p>
      </xdr:txBody>
    </xdr:sp>
    <xdr:clientData/>
  </xdr:oneCellAnchor>
  <xdr:oneCellAnchor>
    <xdr:from>
      <xdr:col>15</xdr:col>
      <xdr:colOff>552450</xdr:colOff>
      <xdr:row>14</xdr:row>
      <xdr:rowOff>28575</xdr:rowOff>
    </xdr:from>
    <xdr:ext cx="25616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10848975" y="26955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7</a:t>
          </a:r>
        </a:p>
      </xdr:txBody>
    </xdr:sp>
    <xdr:clientData/>
  </xdr:oneCellAnchor>
  <xdr:oneCellAnchor>
    <xdr:from>
      <xdr:col>15</xdr:col>
      <xdr:colOff>333375</xdr:colOff>
      <xdr:row>16</xdr:row>
      <xdr:rowOff>152400</xdr:rowOff>
    </xdr:from>
    <xdr:ext cx="256160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10629900" y="32004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4</a:t>
          </a:r>
        </a:p>
      </xdr:txBody>
    </xdr:sp>
    <xdr:clientData/>
  </xdr:oneCellAnchor>
  <xdr:oneCellAnchor>
    <xdr:from>
      <xdr:col>17</xdr:col>
      <xdr:colOff>9525</xdr:colOff>
      <xdr:row>12</xdr:row>
      <xdr:rowOff>0</xdr:rowOff>
    </xdr:from>
    <xdr:ext cx="256160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11525250" y="22860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1</a:t>
          </a:r>
        </a:p>
      </xdr:txBody>
    </xdr:sp>
    <xdr:clientData/>
  </xdr:oneCellAnchor>
  <xdr:oneCellAnchor>
    <xdr:from>
      <xdr:col>16</xdr:col>
      <xdr:colOff>381000</xdr:colOff>
      <xdr:row>16</xdr:row>
      <xdr:rowOff>142875</xdr:rowOff>
    </xdr:from>
    <xdr:ext cx="256160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11287125" y="31908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2</a:t>
          </a:r>
        </a:p>
      </xdr:txBody>
    </xdr:sp>
    <xdr:clientData/>
  </xdr:oneCellAnchor>
  <xdr:oneCellAnchor>
    <xdr:from>
      <xdr:col>18</xdr:col>
      <xdr:colOff>28575</xdr:colOff>
      <xdr:row>11</xdr:row>
      <xdr:rowOff>0</xdr:rowOff>
    </xdr:from>
    <xdr:ext cx="256160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/>
      </xdr:nvSpPr>
      <xdr:spPr>
        <a:xfrm>
          <a:off x="12153900" y="20955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3</a:t>
          </a:r>
        </a:p>
      </xdr:txBody>
    </xdr:sp>
    <xdr:clientData/>
  </xdr:oneCellAnchor>
  <xdr:oneCellAnchor>
    <xdr:from>
      <xdr:col>18</xdr:col>
      <xdr:colOff>19050</xdr:colOff>
      <xdr:row>14</xdr:row>
      <xdr:rowOff>19050</xdr:rowOff>
    </xdr:from>
    <xdr:ext cx="256160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12144375" y="26860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4</a:t>
          </a:r>
        </a:p>
      </xdr:txBody>
    </xdr:sp>
    <xdr:clientData/>
  </xdr:oneCellAnchor>
  <xdr:oneCellAnchor>
    <xdr:from>
      <xdr:col>17</xdr:col>
      <xdr:colOff>257175</xdr:colOff>
      <xdr:row>18</xdr:row>
      <xdr:rowOff>123825</xdr:rowOff>
    </xdr:from>
    <xdr:ext cx="256160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11772900" y="35528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4</a:t>
          </a:r>
        </a:p>
      </xdr:txBody>
    </xdr:sp>
    <xdr:clientData/>
  </xdr:oneCellAnchor>
  <xdr:oneCellAnchor>
    <xdr:from>
      <xdr:col>18</xdr:col>
      <xdr:colOff>171450</xdr:colOff>
      <xdr:row>16</xdr:row>
      <xdr:rowOff>133350</xdr:rowOff>
    </xdr:from>
    <xdr:ext cx="256160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12296775" y="31813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5</a:t>
          </a:r>
        </a:p>
      </xdr:txBody>
    </xdr:sp>
    <xdr:clientData/>
  </xdr:oneCellAnchor>
  <xdr:oneCellAnchor>
    <xdr:from>
      <xdr:col>19</xdr:col>
      <xdr:colOff>247650</xdr:colOff>
      <xdr:row>16</xdr:row>
      <xdr:rowOff>38100</xdr:rowOff>
    </xdr:from>
    <xdr:ext cx="256160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12982575" y="30861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1</a:t>
          </a:r>
        </a:p>
      </xdr:txBody>
    </xdr:sp>
    <xdr:clientData/>
  </xdr:oneCellAnchor>
  <xdr:oneCellAnchor>
    <xdr:from>
      <xdr:col>20</xdr:col>
      <xdr:colOff>361950</xdr:colOff>
      <xdr:row>12</xdr:row>
      <xdr:rowOff>142875</xdr:rowOff>
    </xdr:from>
    <xdr:ext cx="256160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/>
      </xdr:nvSpPr>
      <xdr:spPr>
        <a:xfrm>
          <a:off x="13706475" y="24288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9</a:t>
          </a:r>
        </a:p>
      </xdr:txBody>
    </xdr:sp>
    <xdr:clientData/>
  </xdr:oneCellAnchor>
  <xdr:oneCellAnchor>
    <xdr:from>
      <xdr:col>20</xdr:col>
      <xdr:colOff>238125</xdr:colOff>
      <xdr:row>16</xdr:row>
      <xdr:rowOff>161925</xdr:rowOff>
    </xdr:from>
    <xdr:ext cx="256160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13582650" y="32099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6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16</xdr:row>
      <xdr:rowOff>95251</xdr:rowOff>
    </xdr:from>
    <xdr:to>
      <xdr:col>14</xdr:col>
      <xdr:colOff>0</xdr:colOff>
      <xdr:row>19</xdr:row>
      <xdr:rowOff>95251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/>
      </xdr:nvSpPr>
      <xdr:spPr>
        <a:xfrm>
          <a:off x="9372600" y="3143251"/>
          <a:ext cx="533400" cy="571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O</a:t>
          </a:r>
        </a:p>
      </xdr:txBody>
    </xdr:sp>
    <xdr:clientData/>
  </xdr:twoCellAnchor>
  <xdr:twoCellAnchor>
    <xdr:from>
      <xdr:col>15</xdr:col>
      <xdr:colOff>66676</xdr:colOff>
      <xdr:row>11</xdr:row>
      <xdr:rowOff>161925</xdr:rowOff>
    </xdr:from>
    <xdr:to>
      <xdr:col>15</xdr:col>
      <xdr:colOff>533400</xdr:colOff>
      <xdr:row>14</xdr:row>
      <xdr:rowOff>57151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/>
      </xdr:nvSpPr>
      <xdr:spPr>
        <a:xfrm>
          <a:off x="10582276" y="2257425"/>
          <a:ext cx="466724" cy="46672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</a:t>
          </a:r>
        </a:p>
      </xdr:txBody>
    </xdr:sp>
    <xdr:clientData/>
  </xdr:twoCellAnchor>
  <xdr:twoCellAnchor>
    <xdr:from>
      <xdr:col>14</xdr:col>
      <xdr:colOff>504825</xdr:colOff>
      <xdr:row>21</xdr:row>
      <xdr:rowOff>28576</xdr:rowOff>
    </xdr:from>
    <xdr:to>
      <xdr:col>15</xdr:col>
      <xdr:colOff>333375</xdr:colOff>
      <xdr:row>23</xdr:row>
      <xdr:rowOff>104776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/>
      </xdr:nvSpPr>
      <xdr:spPr>
        <a:xfrm>
          <a:off x="9944100" y="4029076"/>
          <a:ext cx="438150" cy="457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</a:t>
          </a:r>
        </a:p>
      </xdr:txBody>
    </xdr:sp>
    <xdr:clientData/>
  </xdr:twoCellAnchor>
  <xdr:twoCellAnchor>
    <xdr:from>
      <xdr:col>15</xdr:col>
      <xdr:colOff>590550</xdr:colOff>
      <xdr:row>16</xdr:row>
      <xdr:rowOff>171451</xdr:rowOff>
    </xdr:from>
    <xdr:to>
      <xdr:col>16</xdr:col>
      <xdr:colOff>428625</xdr:colOff>
      <xdr:row>19</xdr:row>
      <xdr:rowOff>76201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/>
      </xdr:nvSpPr>
      <xdr:spPr>
        <a:xfrm>
          <a:off x="10639425" y="3219451"/>
          <a:ext cx="447675" cy="476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B</a:t>
          </a:r>
        </a:p>
      </xdr:txBody>
    </xdr:sp>
    <xdr:clientData/>
  </xdr:twoCellAnchor>
  <xdr:twoCellAnchor>
    <xdr:from>
      <xdr:col>18</xdr:col>
      <xdr:colOff>85725</xdr:colOff>
      <xdr:row>15</xdr:row>
      <xdr:rowOff>142876</xdr:rowOff>
    </xdr:from>
    <xdr:to>
      <xdr:col>19</xdr:col>
      <xdr:colOff>0</xdr:colOff>
      <xdr:row>18</xdr:row>
      <xdr:rowOff>76201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SpPr/>
      </xdr:nvSpPr>
      <xdr:spPr>
        <a:xfrm>
          <a:off x="12430125" y="3000376"/>
          <a:ext cx="523875" cy="504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D</a:t>
          </a:r>
        </a:p>
      </xdr:txBody>
    </xdr:sp>
    <xdr:clientData/>
  </xdr:twoCellAnchor>
  <xdr:twoCellAnchor>
    <xdr:from>
      <xdr:col>17</xdr:col>
      <xdr:colOff>476250</xdr:colOff>
      <xdr:row>21</xdr:row>
      <xdr:rowOff>19051</xdr:rowOff>
    </xdr:from>
    <xdr:to>
      <xdr:col>18</xdr:col>
      <xdr:colOff>333375</xdr:colOff>
      <xdr:row>23</xdr:row>
      <xdr:rowOff>95251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SpPr/>
      </xdr:nvSpPr>
      <xdr:spPr>
        <a:xfrm>
          <a:off x="11744325" y="4019551"/>
          <a:ext cx="466725" cy="457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E</a:t>
          </a:r>
        </a:p>
      </xdr:txBody>
    </xdr:sp>
    <xdr:clientData/>
  </xdr:twoCellAnchor>
  <xdr:twoCellAnchor>
    <xdr:from>
      <xdr:col>20</xdr:col>
      <xdr:colOff>361950</xdr:colOff>
      <xdr:row>15</xdr:row>
      <xdr:rowOff>114301</xdr:rowOff>
    </xdr:from>
    <xdr:to>
      <xdr:col>21</xdr:col>
      <xdr:colOff>314325</xdr:colOff>
      <xdr:row>18</xdr:row>
      <xdr:rowOff>95251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/>
      </xdr:nvSpPr>
      <xdr:spPr>
        <a:xfrm>
          <a:off x="13458825" y="2971801"/>
          <a:ext cx="561975" cy="552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</a:t>
          </a:r>
        </a:p>
      </xdr:txBody>
    </xdr:sp>
    <xdr:clientData/>
  </xdr:twoCellAnchor>
  <xdr:oneCellAnchor>
    <xdr:from>
      <xdr:col>14</xdr:col>
      <xdr:colOff>171450</xdr:colOff>
      <xdr:row>14</xdr:row>
      <xdr:rowOff>9526</xdr:rowOff>
    </xdr:from>
    <xdr:ext cx="256160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 txBox="1"/>
      </xdr:nvSpPr>
      <xdr:spPr>
        <a:xfrm>
          <a:off x="9610725" y="2676526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2</a:t>
          </a:r>
        </a:p>
      </xdr:txBody>
    </xdr:sp>
    <xdr:clientData/>
  </xdr:oneCellAnchor>
  <xdr:oneCellAnchor>
    <xdr:from>
      <xdr:col>14</xdr:col>
      <xdr:colOff>457200</xdr:colOff>
      <xdr:row>16</xdr:row>
      <xdr:rowOff>95251</xdr:rowOff>
    </xdr:from>
    <xdr:ext cx="256160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 txBox="1"/>
      </xdr:nvSpPr>
      <xdr:spPr>
        <a:xfrm>
          <a:off x="9896475" y="3143251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5</a:t>
          </a:r>
        </a:p>
      </xdr:txBody>
    </xdr:sp>
    <xdr:clientData/>
  </xdr:oneCellAnchor>
  <xdr:oneCellAnchor>
    <xdr:from>
      <xdr:col>14</xdr:col>
      <xdr:colOff>238125</xdr:colOff>
      <xdr:row>19</xdr:row>
      <xdr:rowOff>28576</xdr:rowOff>
    </xdr:from>
    <xdr:ext cx="256160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 txBox="1"/>
      </xdr:nvSpPr>
      <xdr:spPr>
        <a:xfrm>
          <a:off x="9677400" y="3648076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4</a:t>
          </a:r>
        </a:p>
      </xdr:txBody>
    </xdr:sp>
    <xdr:clientData/>
  </xdr:oneCellAnchor>
  <xdr:oneCellAnchor>
    <xdr:from>
      <xdr:col>15</xdr:col>
      <xdr:colOff>523875</xdr:colOff>
      <xdr:row>14</xdr:row>
      <xdr:rowOff>66676</xdr:rowOff>
    </xdr:from>
    <xdr:ext cx="256160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 txBox="1"/>
      </xdr:nvSpPr>
      <xdr:spPr>
        <a:xfrm>
          <a:off x="10572750" y="2733676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2</a:t>
          </a:r>
        </a:p>
      </xdr:txBody>
    </xdr:sp>
    <xdr:clientData/>
  </xdr:oneCellAnchor>
  <xdr:oneCellAnchor>
    <xdr:from>
      <xdr:col>15</xdr:col>
      <xdr:colOff>285750</xdr:colOff>
      <xdr:row>19</xdr:row>
      <xdr:rowOff>19051</xdr:rowOff>
    </xdr:from>
    <xdr:ext cx="256160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 txBox="1"/>
      </xdr:nvSpPr>
      <xdr:spPr>
        <a:xfrm>
          <a:off x="10334625" y="3638551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1</a:t>
          </a:r>
        </a:p>
      </xdr:txBody>
    </xdr:sp>
    <xdr:clientData/>
  </xdr:oneCellAnchor>
  <xdr:oneCellAnchor>
    <xdr:from>
      <xdr:col>16</xdr:col>
      <xdr:colOff>542925</xdr:colOff>
      <xdr:row>13</xdr:row>
      <xdr:rowOff>66676</xdr:rowOff>
    </xdr:from>
    <xdr:ext cx="256160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 txBox="1"/>
      </xdr:nvSpPr>
      <xdr:spPr>
        <a:xfrm>
          <a:off x="11201400" y="2543176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7</a:t>
          </a:r>
        </a:p>
      </xdr:txBody>
    </xdr:sp>
    <xdr:clientData/>
  </xdr:oneCellAnchor>
  <xdr:oneCellAnchor>
    <xdr:from>
      <xdr:col>16</xdr:col>
      <xdr:colOff>533400</xdr:colOff>
      <xdr:row>16</xdr:row>
      <xdr:rowOff>85726</xdr:rowOff>
    </xdr:from>
    <xdr:ext cx="256160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 txBox="1"/>
      </xdr:nvSpPr>
      <xdr:spPr>
        <a:xfrm>
          <a:off x="11191875" y="3133726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4</a:t>
          </a:r>
        </a:p>
      </xdr:txBody>
    </xdr:sp>
    <xdr:clientData/>
  </xdr:oneCellAnchor>
  <xdr:oneCellAnchor>
    <xdr:from>
      <xdr:col>16</xdr:col>
      <xdr:colOff>161925</xdr:colOff>
      <xdr:row>21</xdr:row>
      <xdr:rowOff>1</xdr:rowOff>
    </xdr:from>
    <xdr:ext cx="256160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SpPr txBox="1"/>
      </xdr:nvSpPr>
      <xdr:spPr>
        <a:xfrm>
          <a:off x="10820400" y="4000501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4</a:t>
          </a:r>
        </a:p>
      </xdr:txBody>
    </xdr:sp>
    <xdr:clientData/>
  </xdr:oneCellAnchor>
  <xdr:oneCellAnchor>
    <xdr:from>
      <xdr:col>17</xdr:col>
      <xdr:colOff>76200</xdr:colOff>
      <xdr:row>19</xdr:row>
      <xdr:rowOff>9526</xdr:rowOff>
    </xdr:from>
    <xdr:ext cx="256160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SpPr txBox="1"/>
      </xdr:nvSpPr>
      <xdr:spPr>
        <a:xfrm>
          <a:off x="11344275" y="3629026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3</a:t>
          </a:r>
        </a:p>
      </xdr:txBody>
    </xdr:sp>
    <xdr:clientData/>
  </xdr:oneCellAnchor>
  <xdr:oneCellAnchor>
    <xdr:from>
      <xdr:col>18</xdr:col>
      <xdr:colOff>266700</xdr:colOff>
      <xdr:row>18</xdr:row>
      <xdr:rowOff>142876</xdr:rowOff>
    </xdr:from>
    <xdr:ext cx="256160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SpPr txBox="1"/>
      </xdr:nvSpPr>
      <xdr:spPr>
        <a:xfrm>
          <a:off x="12144375" y="3571876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1</a:t>
          </a:r>
        </a:p>
      </xdr:txBody>
    </xdr:sp>
    <xdr:clientData/>
  </xdr:oneCellAnchor>
  <xdr:oneCellAnchor>
    <xdr:from>
      <xdr:col>19</xdr:col>
      <xdr:colOff>276225</xdr:colOff>
      <xdr:row>15</xdr:row>
      <xdr:rowOff>104776</xdr:rowOff>
    </xdr:from>
    <xdr:ext cx="256160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 txBox="1"/>
      </xdr:nvSpPr>
      <xdr:spPr>
        <a:xfrm>
          <a:off x="13230225" y="2962276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5</a:t>
          </a:r>
        </a:p>
      </xdr:txBody>
    </xdr:sp>
    <xdr:clientData/>
  </xdr:oneCellAnchor>
  <xdr:oneCellAnchor>
    <xdr:from>
      <xdr:col>19</xdr:col>
      <xdr:colOff>142875</xdr:colOff>
      <xdr:row>19</xdr:row>
      <xdr:rowOff>38101</xdr:rowOff>
    </xdr:from>
    <xdr:ext cx="256160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SpPr txBox="1"/>
      </xdr:nvSpPr>
      <xdr:spPr>
        <a:xfrm>
          <a:off x="12630150" y="3657601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7</a:t>
          </a:r>
        </a:p>
      </xdr:txBody>
    </xdr:sp>
    <xdr:clientData/>
  </xdr:oneCellAnchor>
  <xdr:twoCellAnchor>
    <xdr:from>
      <xdr:col>13</xdr:col>
      <xdr:colOff>531485</xdr:colOff>
      <xdr:row>13</xdr:row>
      <xdr:rowOff>179301</xdr:rowOff>
    </xdr:from>
    <xdr:to>
      <xdr:col>15</xdr:col>
      <xdr:colOff>135026</xdr:colOff>
      <xdr:row>16</xdr:row>
      <xdr:rowOff>178945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>
          <a:stCxn id="64" idx="7"/>
          <a:endCxn id="65" idx="3"/>
        </xdr:cNvCxnSpPr>
      </xdr:nvCxnSpPr>
      <xdr:spPr>
        <a:xfrm flipV="1">
          <a:off x="9827885" y="2655801"/>
          <a:ext cx="822741" cy="571144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465050</xdr:colOff>
      <xdr:row>13</xdr:row>
      <xdr:rowOff>179301</xdr:rowOff>
    </xdr:from>
    <xdr:to>
      <xdr:col>16</xdr:col>
      <xdr:colOff>46510</xdr:colOff>
      <xdr:row>17</xdr:row>
      <xdr:rowOff>50696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CxnSpPr>
          <a:stCxn id="65" idx="5"/>
          <a:endCxn id="67" idx="1"/>
        </xdr:cNvCxnSpPr>
      </xdr:nvCxnSpPr>
      <xdr:spPr>
        <a:xfrm>
          <a:off x="10980650" y="2655801"/>
          <a:ext cx="191060" cy="63339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531485</xdr:colOff>
      <xdr:row>19</xdr:row>
      <xdr:rowOff>11557</xdr:rowOff>
    </xdr:from>
    <xdr:to>
      <xdr:col>14</xdr:col>
      <xdr:colOff>568991</xdr:colOff>
      <xdr:row>21</xdr:row>
      <xdr:rowOff>95531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>
          <a:stCxn id="64" idx="5"/>
          <a:endCxn id="66" idx="1"/>
        </xdr:cNvCxnSpPr>
      </xdr:nvCxnSpPr>
      <xdr:spPr>
        <a:xfrm>
          <a:off x="9827885" y="3631057"/>
          <a:ext cx="647106" cy="4649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</xdr:row>
      <xdr:rowOff>1</xdr:rowOff>
    </xdr:from>
    <xdr:to>
      <xdr:col>15</xdr:col>
      <xdr:colOff>590550</xdr:colOff>
      <xdr:row>18</xdr:row>
      <xdr:rowOff>28576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CxnSpPr>
          <a:stCxn id="64" idx="6"/>
          <a:endCxn id="67" idx="2"/>
        </xdr:cNvCxnSpPr>
      </xdr:nvCxnSpPr>
      <xdr:spPr>
        <a:xfrm>
          <a:off x="9906000" y="3429001"/>
          <a:ext cx="1200150" cy="28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269209</xdr:colOff>
      <xdr:row>19</xdr:row>
      <xdr:rowOff>6456</xdr:rowOff>
    </xdr:from>
    <xdr:to>
      <xdr:col>16</xdr:col>
      <xdr:colOff>46510</xdr:colOff>
      <xdr:row>21</xdr:row>
      <xdr:rowOff>95531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CxnSpPr>
          <a:stCxn id="67" idx="3"/>
          <a:endCxn id="66" idx="7"/>
        </xdr:cNvCxnSpPr>
      </xdr:nvCxnSpPr>
      <xdr:spPr>
        <a:xfrm flipH="1">
          <a:off x="10784809" y="3625956"/>
          <a:ext cx="386901" cy="4700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533400</xdr:colOff>
      <xdr:row>13</xdr:row>
      <xdr:rowOff>14288</xdr:rowOff>
    </xdr:from>
    <xdr:to>
      <xdr:col>18</xdr:col>
      <xdr:colOff>162445</xdr:colOff>
      <xdr:row>16</xdr:row>
      <xdr:rowOff>26306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CxnSpPr>
          <a:stCxn id="65" idx="6"/>
          <a:endCxn id="68" idx="1"/>
        </xdr:cNvCxnSpPr>
      </xdr:nvCxnSpPr>
      <xdr:spPr>
        <a:xfrm>
          <a:off x="11049000" y="2490788"/>
          <a:ext cx="1457845" cy="58351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428625</xdr:colOff>
      <xdr:row>17</xdr:row>
      <xdr:rowOff>14289</xdr:rowOff>
    </xdr:from>
    <xdr:to>
      <xdr:col>18</xdr:col>
      <xdr:colOff>85725</xdr:colOff>
      <xdr:row>18</xdr:row>
      <xdr:rowOff>28576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CxnSpPr>
          <a:stCxn id="67" idx="6"/>
          <a:endCxn id="68" idx="2"/>
        </xdr:cNvCxnSpPr>
      </xdr:nvCxnSpPr>
      <xdr:spPr>
        <a:xfrm flipV="1">
          <a:off x="11553825" y="3252789"/>
          <a:ext cx="876300" cy="2047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100013</xdr:colOff>
      <xdr:row>18</xdr:row>
      <xdr:rowOff>76201</xdr:rowOff>
    </xdr:from>
    <xdr:to>
      <xdr:col>18</xdr:col>
      <xdr:colOff>347663</xdr:colOff>
      <xdr:row>21</xdr:row>
      <xdr:rowOff>19051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CxnSpPr>
          <a:stCxn id="68" idx="4"/>
          <a:endCxn id="69" idx="0"/>
        </xdr:cNvCxnSpPr>
      </xdr:nvCxnSpPr>
      <xdr:spPr>
        <a:xfrm flipH="1">
          <a:off x="12444413" y="3505201"/>
          <a:ext cx="247650" cy="51435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333375</xdr:colOff>
      <xdr:row>22</xdr:row>
      <xdr:rowOff>57151</xdr:rowOff>
    </xdr:from>
    <xdr:to>
      <xdr:col>17</xdr:col>
      <xdr:colOff>476250</xdr:colOff>
      <xdr:row>22</xdr:row>
      <xdr:rowOff>66676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CxnSpPr>
          <a:stCxn id="66" idx="6"/>
          <a:endCxn id="69" idx="2"/>
        </xdr:cNvCxnSpPr>
      </xdr:nvCxnSpPr>
      <xdr:spPr>
        <a:xfrm flipV="1">
          <a:off x="10848975" y="4248151"/>
          <a:ext cx="136207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363065</xdr:colOff>
      <xdr:row>19</xdr:row>
      <xdr:rowOff>6456</xdr:rowOff>
    </xdr:from>
    <xdr:to>
      <xdr:col>17</xdr:col>
      <xdr:colOff>544600</xdr:colOff>
      <xdr:row>21</xdr:row>
      <xdr:rowOff>86006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CxnSpPr>
          <a:stCxn id="67" idx="5"/>
          <a:endCxn id="69" idx="1"/>
        </xdr:cNvCxnSpPr>
      </xdr:nvCxnSpPr>
      <xdr:spPr>
        <a:xfrm>
          <a:off x="11488265" y="3625956"/>
          <a:ext cx="791135" cy="46055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17</xdr:row>
      <xdr:rowOff>9526</xdr:rowOff>
    </xdr:from>
    <xdr:to>
      <xdr:col>20</xdr:col>
      <xdr:colOff>361950</xdr:colOff>
      <xdr:row>17</xdr:row>
      <xdr:rowOff>14289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CxnSpPr>
          <a:stCxn id="68" idx="6"/>
          <a:endCxn id="70" idx="2"/>
        </xdr:cNvCxnSpPr>
      </xdr:nvCxnSpPr>
      <xdr:spPr>
        <a:xfrm flipV="1">
          <a:off x="12954000" y="3248026"/>
          <a:ext cx="971550" cy="4763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333375</xdr:colOff>
      <xdr:row>18</xdr:row>
      <xdr:rowOff>14347</xdr:rowOff>
    </xdr:from>
    <xdr:to>
      <xdr:col>20</xdr:col>
      <xdr:colOff>444249</xdr:colOff>
      <xdr:row>22</xdr:row>
      <xdr:rowOff>57151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CxnSpPr>
          <a:stCxn id="69" idx="6"/>
          <a:endCxn id="70" idx="3"/>
        </xdr:cNvCxnSpPr>
      </xdr:nvCxnSpPr>
      <xdr:spPr>
        <a:xfrm flipV="1">
          <a:off x="12677775" y="3443347"/>
          <a:ext cx="1330074" cy="80480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600075</xdr:colOff>
      <xdr:row>6</xdr:row>
      <xdr:rowOff>142875</xdr:rowOff>
    </xdr:from>
    <xdr:to>
      <xdr:col>16</xdr:col>
      <xdr:colOff>476250</xdr:colOff>
      <xdr:row>9</xdr:row>
      <xdr:rowOff>47625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0353675" y="1285875"/>
          <a:ext cx="485775" cy="476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</a:t>
          </a:r>
        </a:p>
      </xdr:txBody>
    </xdr:sp>
    <xdr:clientData/>
  </xdr:twoCellAnchor>
  <xdr:twoCellAnchor>
    <xdr:from>
      <xdr:col>20</xdr:col>
      <xdr:colOff>542925</xdr:colOff>
      <xdr:row>6</xdr:row>
      <xdr:rowOff>142875</xdr:rowOff>
    </xdr:from>
    <xdr:to>
      <xdr:col>21</xdr:col>
      <xdr:colOff>419100</xdr:colOff>
      <xdr:row>9</xdr:row>
      <xdr:rowOff>47625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3344525" y="1285875"/>
          <a:ext cx="485775" cy="476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D</a:t>
          </a:r>
        </a:p>
      </xdr:txBody>
    </xdr:sp>
    <xdr:clientData/>
  </xdr:twoCellAnchor>
  <xdr:twoCellAnchor>
    <xdr:from>
      <xdr:col>15</xdr:col>
      <xdr:colOff>590550</xdr:colOff>
      <xdr:row>17</xdr:row>
      <xdr:rowOff>133350</xdr:rowOff>
    </xdr:from>
    <xdr:to>
      <xdr:col>16</xdr:col>
      <xdr:colOff>466725</xdr:colOff>
      <xdr:row>20</xdr:row>
      <xdr:rowOff>38100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0344150" y="3371850"/>
          <a:ext cx="485775" cy="476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B</a:t>
          </a:r>
        </a:p>
      </xdr:txBody>
    </xdr:sp>
    <xdr:clientData/>
  </xdr:twoCellAnchor>
  <xdr:twoCellAnchor>
    <xdr:from>
      <xdr:col>20</xdr:col>
      <xdr:colOff>533400</xdr:colOff>
      <xdr:row>17</xdr:row>
      <xdr:rowOff>133350</xdr:rowOff>
    </xdr:from>
    <xdr:to>
      <xdr:col>21</xdr:col>
      <xdr:colOff>409575</xdr:colOff>
      <xdr:row>20</xdr:row>
      <xdr:rowOff>38100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3335000" y="3371850"/>
          <a:ext cx="485775" cy="476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E</a:t>
          </a:r>
        </a:p>
      </xdr:txBody>
    </xdr:sp>
    <xdr:clientData/>
  </xdr:twoCellAnchor>
  <xdr:twoCellAnchor>
    <xdr:from>
      <xdr:col>18</xdr:col>
      <xdr:colOff>342900</xdr:colOff>
      <xdr:row>12</xdr:row>
      <xdr:rowOff>104775</xdr:rowOff>
    </xdr:from>
    <xdr:to>
      <xdr:col>19</xdr:col>
      <xdr:colOff>219075</xdr:colOff>
      <xdr:row>15</xdr:row>
      <xdr:rowOff>9525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1925300" y="2390775"/>
          <a:ext cx="485775" cy="476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</a:t>
          </a:r>
        </a:p>
      </xdr:txBody>
    </xdr:sp>
    <xdr:clientData/>
  </xdr:twoCellAnchor>
  <xdr:twoCellAnchor>
    <xdr:from>
      <xdr:col>16</xdr:col>
      <xdr:colOff>223838</xdr:colOff>
      <xdr:row>9</xdr:row>
      <xdr:rowOff>47625</xdr:rowOff>
    </xdr:from>
    <xdr:to>
      <xdr:col>16</xdr:col>
      <xdr:colOff>233363</xdr:colOff>
      <xdr:row>17</xdr:row>
      <xdr:rowOff>133350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CxnSpPr>
          <a:stCxn id="2" idx="4"/>
          <a:endCxn id="4" idx="0"/>
        </xdr:cNvCxnSpPr>
      </xdr:nvCxnSpPr>
      <xdr:spPr>
        <a:xfrm flipH="1">
          <a:off x="10587038" y="1762125"/>
          <a:ext cx="9525" cy="16097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476250</xdr:colOff>
      <xdr:row>8</xdr:row>
      <xdr:rowOff>0</xdr:rowOff>
    </xdr:from>
    <xdr:to>
      <xdr:col>20</xdr:col>
      <xdr:colOff>542925</xdr:colOff>
      <xdr:row>8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CxnSpPr>
          <a:stCxn id="2" idx="6"/>
          <a:endCxn id="3" idx="2"/>
        </xdr:cNvCxnSpPr>
      </xdr:nvCxnSpPr>
      <xdr:spPr>
        <a:xfrm>
          <a:off x="10839450" y="1524000"/>
          <a:ext cx="250507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466725</xdr:colOff>
      <xdr:row>14</xdr:row>
      <xdr:rowOff>130280</xdr:rowOff>
    </xdr:from>
    <xdr:to>
      <xdr:col>18</xdr:col>
      <xdr:colOff>414040</xdr:colOff>
      <xdr:row>18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CxnSpPr>
          <a:stCxn id="4" idx="6"/>
          <a:endCxn id="6" idx="3"/>
        </xdr:cNvCxnSpPr>
      </xdr:nvCxnSpPr>
      <xdr:spPr>
        <a:xfrm flipV="1">
          <a:off x="10829925" y="2797280"/>
          <a:ext cx="1166515" cy="81269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405110</xdr:colOff>
      <xdr:row>8</xdr:row>
      <xdr:rowOff>168380</xdr:rowOff>
    </xdr:from>
    <xdr:to>
      <xdr:col>18</xdr:col>
      <xdr:colOff>414040</xdr:colOff>
      <xdr:row>12</xdr:row>
      <xdr:rowOff>174520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CxnSpPr>
          <a:stCxn id="2" idx="5"/>
          <a:endCxn id="6" idx="1"/>
        </xdr:cNvCxnSpPr>
      </xdr:nvCxnSpPr>
      <xdr:spPr>
        <a:xfrm>
          <a:off x="10768310" y="1692380"/>
          <a:ext cx="1228130" cy="7681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147935</xdr:colOff>
      <xdr:row>14</xdr:row>
      <xdr:rowOff>130280</xdr:rowOff>
    </xdr:from>
    <xdr:to>
      <xdr:col>20</xdr:col>
      <xdr:colOff>604540</xdr:colOff>
      <xdr:row>18</xdr:row>
      <xdr:rowOff>12595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CxnSpPr>
          <a:stCxn id="6" idx="5"/>
          <a:endCxn id="5" idx="1"/>
        </xdr:cNvCxnSpPr>
      </xdr:nvCxnSpPr>
      <xdr:spPr>
        <a:xfrm>
          <a:off x="12339935" y="2797280"/>
          <a:ext cx="1066205" cy="64431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285750</xdr:colOff>
      <xdr:row>6</xdr:row>
      <xdr:rowOff>104775</xdr:rowOff>
    </xdr:from>
    <xdr:ext cx="573234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 txBox="1"/>
      </xdr:nvSpPr>
      <xdr:spPr>
        <a:xfrm>
          <a:off x="13630275" y="1247775"/>
          <a:ext cx="57323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/>
            <a:t>c</a:t>
          </a:r>
          <a:r>
            <a:rPr lang="en-IN" sz="700"/>
            <a:t>AD</a:t>
          </a:r>
          <a:r>
            <a:rPr lang="en-IN" sz="1100"/>
            <a:t> = 9</a:t>
          </a:r>
        </a:p>
      </xdr:txBody>
    </xdr:sp>
    <xdr:clientData/>
  </xdr:oneCellAnchor>
  <xdr:oneCellAnchor>
    <xdr:from>
      <xdr:col>19</xdr:col>
      <xdr:colOff>66675</xdr:colOff>
      <xdr:row>11</xdr:row>
      <xdr:rowOff>95250</xdr:rowOff>
    </xdr:from>
    <xdr:ext cx="342723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 txBox="1"/>
      </xdr:nvSpPr>
      <xdr:spPr>
        <a:xfrm>
          <a:off x="12258675" y="2190750"/>
          <a:ext cx="3427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[0]</a:t>
          </a:r>
        </a:p>
      </xdr:txBody>
    </xdr:sp>
    <xdr:clientData/>
  </xdr:oneCellAnchor>
  <xdr:oneCellAnchor>
    <xdr:from>
      <xdr:col>15</xdr:col>
      <xdr:colOff>571500</xdr:colOff>
      <xdr:row>11</xdr:row>
      <xdr:rowOff>85725</xdr:rowOff>
    </xdr:from>
    <xdr:ext cx="256160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/>
      </xdr:nvSpPr>
      <xdr:spPr>
        <a:xfrm>
          <a:off x="10325100" y="21812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2</a:t>
          </a:r>
        </a:p>
      </xdr:txBody>
    </xdr:sp>
    <xdr:clientData/>
  </xdr:oneCellAnchor>
  <xdr:oneCellAnchor>
    <xdr:from>
      <xdr:col>17</xdr:col>
      <xdr:colOff>19050</xdr:colOff>
      <xdr:row>10</xdr:row>
      <xdr:rowOff>85725</xdr:rowOff>
    </xdr:from>
    <xdr:ext cx="256160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 txBox="1"/>
      </xdr:nvSpPr>
      <xdr:spPr>
        <a:xfrm>
          <a:off x="10991850" y="19907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4</a:t>
          </a:r>
        </a:p>
      </xdr:txBody>
    </xdr:sp>
    <xdr:clientData/>
  </xdr:oneCellAnchor>
  <xdr:oneCellAnchor>
    <xdr:from>
      <xdr:col>17</xdr:col>
      <xdr:colOff>381000</xdr:colOff>
      <xdr:row>17</xdr:row>
      <xdr:rowOff>19050</xdr:rowOff>
    </xdr:from>
    <xdr:ext cx="256160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/>
      </xdr:nvSpPr>
      <xdr:spPr>
        <a:xfrm>
          <a:off x="11353800" y="32575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3</a:t>
          </a:r>
        </a:p>
      </xdr:txBody>
    </xdr:sp>
    <xdr:clientData/>
  </xdr:oneCellAnchor>
  <xdr:oneCellAnchor>
    <xdr:from>
      <xdr:col>19</xdr:col>
      <xdr:colOff>352425</xdr:colOff>
      <xdr:row>16</xdr:row>
      <xdr:rowOff>0</xdr:rowOff>
    </xdr:from>
    <xdr:ext cx="256160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 txBox="1"/>
      </xdr:nvSpPr>
      <xdr:spPr>
        <a:xfrm>
          <a:off x="12544425" y="30480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1</a:t>
          </a:r>
        </a:p>
      </xdr:txBody>
    </xdr:sp>
    <xdr:clientData/>
  </xdr:oneCellAnchor>
  <xdr:oneCellAnchor>
    <xdr:from>
      <xdr:col>20</xdr:col>
      <xdr:colOff>228600</xdr:colOff>
      <xdr:row>12</xdr:row>
      <xdr:rowOff>114300</xdr:rowOff>
    </xdr:from>
    <xdr:ext cx="256160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/>
      </xdr:nvSpPr>
      <xdr:spPr>
        <a:xfrm>
          <a:off x="15001875" y="24003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2</a:t>
          </a:r>
        </a:p>
      </xdr:txBody>
    </xdr:sp>
    <xdr:clientData/>
  </xdr:oneCellAnchor>
  <xdr:oneCellAnchor>
    <xdr:from>
      <xdr:col>22</xdr:col>
      <xdr:colOff>190500</xdr:colOff>
      <xdr:row>12</xdr:row>
      <xdr:rowOff>85725</xdr:rowOff>
    </xdr:from>
    <xdr:ext cx="256160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 txBox="1"/>
      </xdr:nvSpPr>
      <xdr:spPr>
        <a:xfrm>
          <a:off x="16182975" y="23717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3</a:t>
          </a:r>
        </a:p>
      </xdr:txBody>
    </xdr:sp>
    <xdr:clientData/>
  </xdr:oneCellAnchor>
  <xdr:oneCellAnchor>
    <xdr:from>
      <xdr:col>16</xdr:col>
      <xdr:colOff>28575</xdr:colOff>
      <xdr:row>5</xdr:row>
      <xdr:rowOff>66675</xdr:rowOff>
    </xdr:from>
    <xdr:ext cx="414216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/>
      </xdr:nvSpPr>
      <xdr:spPr>
        <a:xfrm>
          <a:off x="10391775" y="1019175"/>
          <a:ext cx="41421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[50]</a:t>
          </a:r>
        </a:p>
      </xdr:txBody>
    </xdr:sp>
    <xdr:clientData/>
  </xdr:oneCellAnchor>
  <xdr:oneCellAnchor>
    <xdr:from>
      <xdr:col>16</xdr:col>
      <xdr:colOff>19050</xdr:colOff>
      <xdr:row>20</xdr:row>
      <xdr:rowOff>57150</xdr:rowOff>
    </xdr:from>
    <xdr:ext cx="414216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/>
      </xdr:nvSpPr>
      <xdr:spPr>
        <a:xfrm>
          <a:off x="10382250" y="3867150"/>
          <a:ext cx="41421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[40]</a:t>
          </a:r>
        </a:p>
      </xdr:txBody>
    </xdr:sp>
    <xdr:clientData/>
  </xdr:oneCellAnchor>
  <xdr:oneCellAnchor>
    <xdr:from>
      <xdr:col>20</xdr:col>
      <xdr:colOff>571500</xdr:colOff>
      <xdr:row>5</xdr:row>
      <xdr:rowOff>47625</xdr:rowOff>
    </xdr:from>
    <xdr:ext cx="457433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 txBox="1"/>
      </xdr:nvSpPr>
      <xdr:spPr>
        <a:xfrm>
          <a:off x="13373100" y="1000125"/>
          <a:ext cx="4574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[-30]</a:t>
          </a:r>
        </a:p>
      </xdr:txBody>
    </xdr:sp>
    <xdr:clientData/>
  </xdr:oneCellAnchor>
  <xdr:oneCellAnchor>
    <xdr:from>
      <xdr:col>20</xdr:col>
      <xdr:colOff>552450</xdr:colOff>
      <xdr:row>20</xdr:row>
      <xdr:rowOff>76200</xdr:rowOff>
    </xdr:from>
    <xdr:ext cx="457433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 txBox="1"/>
      </xdr:nvSpPr>
      <xdr:spPr>
        <a:xfrm>
          <a:off x="13354050" y="3886200"/>
          <a:ext cx="4574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[-60]</a:t>
          </a:r>
        </a:p>
      </xdr:txBody>
    </xdr:sp>
    <xdr:clientData/>
  </xdr:oneCellAnchor>
  <xdr:oneCellAnchor>
    <xdr:from>
      <xdr:col>15</xdr:col>
      <xdr:colOff>161925</xdr:colOff>
      <xdr:row>13</xdr:row>
      <xdr:rowOff>47625</xdr:rowOff>
    </xdr:from>
    <xdr:ext cx="620811" cy="311496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 txBox="1"/>
      </xdr:nvSpPr>
      <xdr:spPr>
        <a:xfrm>
          <a:off x="11677650" y="2524125"/>
          <a:ext cx="6208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/>
            <a:t>u</a:t>
          </a:r>
          <a:r>
            <a:rPr lang="en-IN" sz="700"/>
            <a:t>AB</a:t>
          </a:r>
          <a:r>
            <a:rPr lang="en-IN" sz="500"/>
            <a:t> </a:t>
          </a:r>
          <a:r>
            <a:rPr lang="en-IN" sz="900"/>
            <a:t>= </a:t>
          </a:r>
          <a:r>
            <a:rPr lang="en-IN" sz="1100"/>
            <a:t>10</a:t>
          </a:r>
        </a:p>
      </xdr:txBody>
    </xdr:sp>
    <xdr:clientData/>
  </xdr:oneCellAnchor>
  <xdr:oneCellAnchor>
    <xdr:from>
      <xdr:col>19</xdr:col>
      <xdr:colOff>47625</xdr:colOff>
      <xdr:row>18</xdr:row>
      <xdr:rowOff>57150</xdr:rowOff>
    </xdr:from>
    <xdr:ext cx="646395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 txBox="1"/>
      </xdr:nvSpPr>
      <xdr:spPr>
        <a:xfrm>
          <a:off x="14001750" y="3486150"/>
          <a:ext cx="64639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/>
            <a:t>u</a:t>
          </a:r>
          <a:r>
            <a:rPr lang="en-IN" sz="600"/>
            <a:t>CE</a:t>
          </a:r>
          <a:r>
            <a:rPr lang="en-IN" sz="600" baseline="0"/>
            <a:t> </a:t>
          </a:r>
          <a:r>
            <a:rPr lang="en-IN" sz="1400" baseline="0"/>
            <a:t>=80</a:t>
          </a:r>
          <a:endParaRPr lang="en-IN" sz="1400"/>
        </a:p>
      </xdr:txBody>
    </xdr:sp>
    <xdr:clientData/>
  </xdr:oneCellAnchor>
  <xdr:twoCellAnchor>
    <xdr:from>
      <xdr:col>21</xdr:col>
      <xdr:colOff>409575</xdr:colOff>
      <xdr:row>8</xdr:row>
      <xdr:rowOff>0</xdr:rowOff>
    </xdr:from>
    <xdr:to>
      <xdr:col>21</xdr:col>
      <xdr:colOff>419100</xdr:colOff>
      <xdr:row>18</xdr:row>
      <xdr:rowOff>180975</xdr:rowOff>
    </xdr:to>
    <xdr:cxnSp macro="">
      <xdr:nvCxnSpPr>
        <xdr:cNvPr id="73" name="Curved Connector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CxnSpPr>
          <a:stCxn id="3" idx="6"/>
          <a:endCxn id="5" idx="6"/>
        </xdr:cNvCxnSpPr>
      </xdr:nvCxnSpPr>
      <xdr:spPr>
        <a:xfrm flipH="1">
          <a:off x="15792450" y="1524000"/>
          <a:ext cx="9525" cy="2085975"/>
        </a:xfrm>
        <a:prstGeom prst="curvedConnector3">
          <a:avLst>
            <a:gd name="adj1" fmla="val -370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533399</xdr:colOff>
      <xdr:row>8</xdr:row>
      <xdr:rowOff>1</xdr:rowOff>
    </xdr:from>
    <xdr:to>
      <xdr:col>20</xdr:col>
      <xdr:colOff>542924</xdr:colOff>
      <xdr:row>18</xdr:row>
      <xdr:rowOff>180976</xdr:rowOff>
    </xdr:to>
    <xdr:cxnSp macro="">
      <xdr:nvCxnSpPr>
        <xdr:cNvPr id="88" name="Curved Connector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CxnSpPr>
          <a:stCxn id="5" idx="2"/>
          <a:endCxn id="3" idx="2"/>
        </xdr:cNvCxnSpPr>
      </xdr:nvCxnSpPr>
      <xdr:spPr>
        <a:xfrm rot="10800000" flipH="1">
          <a:off x="15306674" y="1524001"/>
          <a:ext cx="9525" cy="2085975"/>
        </a:xfrm>
        <a:prstGeom prst="curvedConnector3">
          <a:avLst>
            <a:gd name="adj1" fmla="val -390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278466</xdr:colOff>
      <xdr:row>18</xdr:row>
      <xdr:rowOff>67236</xdr:rowOff>
    </xdr:from>
    <xdr:to>
      <xdr:col>34</xdr:col>
      <xdr:colOff>570150</xdr:colOff>
      <xdr:row>28</xdr:row>
      <xdr:rowOff>29397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E72150-8BE7-3777-4280-B411CB2C7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01290" y="3496236"/>
          <a:ext cx="6342861" cy="1867161"/>
        </a:xfrm>
        <a:prstGeom prst="rect">
          <a:avLst/>
        </a:prstGeom>
      </xdr:spPr>
    </xdr:pic>
    <xdr:clientData/>
  </xdr:twoCellAnchor>
  <xdr:twoCellAnchor editAs="oneCell">
    <xdr:from>
      <xdr:col>24</xdr:col>
      <xdr:colOff>569259</xdr:colOff>
      <xdr:row>0</xdr:row>
      <xdr:rowOff>155202</xdr:rowOff>
    </xdr:from>
    <xdr:to>
      <xdr:col>34</xdr:col>
      <xdr:colOff>88749</xdr:colOff>
      <xdr:row>17</xdr:row>
      <xdr:rowOff>117549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284AFE-723D-6080-DF66-77CABDF78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92083" y="155202"/>
          <a:ext cx="5570667" cy="3200847"/>
        </a:xfrm>
        <a:prstGeom prst="rect">
          <a:avLst/>
        </a:prstGeom>
      </xdr:spPr>
    </xdr:pic>
    <xdr:clientData/>
  </xdr:twoCellAnchor>
  <xdr:twoCellAnchor editAs="oneCell">
    <xdr:from>
      <xdr:col>15</xdr:col>
      <xdr:colOff>491377</xdr:colOff>
      <xdr:row>1</xdr:row>
      <xdr:rowOff>100854</xdr:rowOff>
    </xdr:from>
    <xdr:to>
      <xdr:col>24</xdr:col>
      <xdr:colOff>341958</xdr:colOff>
      <xdr:row>28</xdr:row>
      <xdr:rowOff>82519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402244-69CD-4AC1-1F1E-DBA2BBD3A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68142" y="291354"/>
          <a:ext cx="5296639" cy="5125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D2" sqref="D2"/>
    </sheetView>
  </sheetViews>
  <sheetFormatPr defaultRowHeight="15" x14ac:dyDescent="0.25"/>
  <cols>
    <col min="2" max="2" width="11.42578125" customWidth="1"/>
    <col min="3" max="3" width="14" customWidth="1"/>
    <col min="4" max="4" width="15.5703125" customWidth="1"/>
    <col min="5" max="5" width="16.140625" customWidth="1"/>
    <col min="6" max="6" width="14" customWidth="1"/>
    <col min="7" max="7" width="14.28515625" customWidth="1"/>
    <col min="8" max="8" width="14.42578125" customWidth="1"/>
    <col min="9" max="9" width="15.7109375" customWidth="1"/>
    <col min="11" max="11" width="14.28515625" customWidth="1"/>
  </cols>
  <sheetData>
    <row r="1" spans="1:11" x14ac:dyDescent="0.25">
      <c r="A1" s="41" t="s">
        <v>18</v>
      </c>
      <c r="B1" s="41"/>
      <c r="C1" s="42"/>
      <c r="D1" s="38"/>
    </row>
    <row r="3" spans="1:11" x14ac:dyDescent="0.25">
      <c r="B3" s="43" t="s">
        <v>31</v>
      </c>
      <c r="C3" s="43"/>
    </row>
    <row r="5" spans="1:11" x14ac:dyDescent="0.25">
      <c r="C5" t="s">
        <v>0</v>
      </c>
      <c r="E5" s="40" t="s">
        <v>1</v>
      </c>
      <c r="F5" s="40"/>
      <c r="G5" s="40"/>
      <c r="H5" s="40"/>
    </row>
    <row r="6" spans="1:11" x14ac:dyDescent="0.25">
      <c r="E6" s="7" t="s">
        <v>6</v>
      </c>
      <c r="F6" s="7" t="s">
        <v>7</v>
      </c>
      <c r="G6" s="7" t="s">
        <v>8</v>
      </c>
      <c r="H6" s="7" t="s">
        <v>9</v>
      </c>
      <c r="I6" s="8" t="s">
        <v>16</v>
      </c>
    </row>
    <row r="7" spans="1:11" x14ac:dyDescent="0.25">
      <c r="C7" s="1" t="s">
        <v>2</v>
      </c>
      <c r="D7" s="9" t="s">
        <v>3</v>
      </c>
      <c r="E7" s="6">
        <v>464</v>
      </c>
      <c r="F7" s="6">
        <v>513</v>
      </c>
      <c r="G7" s="6">
        <v>654</v>
      </c>
      <c r="H7" s="6">
        <v>867</v>
      </c>
      <c r="I7" s="10">
        <v>75</v>
      </c>
    </row>
    <row r="8" spans="1:11" x14ac:dyDescent="0.25">
      <c r="C8" s="1" t="s">
        <v>12</v>
      </c>
      <c r="D8" s="9" t="s">
        <v>4</v>
      </c>
      <c r="E8" s="6">
        <v>352</v>
      </c>
      <c r="F8" s="6">
        <v>416</v>
      </c>
      <c r="G8" s="6">
        <v>690</v>
      </c>
      <c r="H8" s="6">
        <v>791</v>
      </c>
      <c r="I8" s="10">
        <v>125</v>
      </c>
    </row>
    <row r="9" spans="1:11" x14ac:dyDescent="0.25">
      <c r="C9" s="1"/>
      <c r="D9" s="9" t="s">
        <v>5</v>
      </c>
      <c r="E9" s="6">
        <v>995</v>
      </c>
      <c r="F9" s="6">
        <v>682</v>
      </c>
      <c r="G9" s="6">
        <v>388</v>
      </c>
      <c r="H9" s="6">
        <v>685</v>
      </c>
      <c r="I9" s="10">
        <v>100</v>
      </c>
    </row>
    <row r="10" spans="1:11" x14ac:dyDescent="0.25">
      <c r="D10" s="8" t="s">
        <v>17</v>
      </c>
      <c r="E10" s="10">
        <v>80</v>
      </c>
      <c r="F10" s="10">
        <v>65</v>
      </c>
      <c r="G10" s="10">
        <v>70</v>
      </c>
      <c r="H10" s="10">
        <v>85</v>
      </c>
    </row>
    <row r="12" spans="1:11" x14ac:dyDescent="0.25">
      <c r="C12" t="s">
        <v>10</v>
      </c>
      <c r="E12" s="40" t="s">
        <v>15</v>
      </c>
      <c r="F12" s="40"/>
      <c r="G12" s="40"/>
      <c r="H12" s="40"/>
    </row>
    <row r="13" spans="1:11" x14ac:dyDescent="0.25">
      <c r="C13" t="s">
        <v>11</v>
      </c>
      <c r="E13" s="7" t="s">
        <v>6</v>
      </c>
      <c r="F13" s="7" t="s">
        <v>7</v>
      </c>
      <c r="G13" s="7" t="s">
        <v>8</v>
      </c>
      <c r="H13" s="7" t="s">
        <v>9</v>
      </c>
      <c r="I13" s="8" t="s">
        <v>14</v>
      </c>
      <c r="K13" s="2" t="s">
        <v>16</v>
      </c>
    </row>
    <row r="14" spans="1:11" x14ac:dyDescent="0.25">
      <c r="C14" s="1" t="s">
        <v>2</v>
      </c>
      <c r="D14" s="9" t="s">
        <v>3</v>
      </c>
      <c r="E14" s="6">
        <v>0</v>
      </c>
      <c r="F14" s="6">
        <v>20</v>
      </c>
      <c r="G14" s="6">
        <v>0</v>
      </c>
      <c r="H14" s="6">
        <v>55</v>
      </c>
      <c r="I14" s="6">
        <f>SUM(E14:H14)</f>
        <v>75</v>
      </c>
      <c r="J14" s="11" t="s">
        <v>19</v>
      </c>
      <c r="K14" s="5">
        <v>75</v>
      </c>
    </row>
    <row r="15" spans="1:11" x14ac:dyDescent="0.25">
      <c r="C15" s="1" t="s">
        <v>12</v>
      </c>
      <c r="D15" s="9" t="s">
        <v>4</v>
      </c>
      <c r="E15" s="6">
        <v>80</v>
      </c>
      <c r="F15" s="6">
        <v>45</v>
      </c>
      <c r="G15" s="6">
        <v>0</v>
      </c>
      <c r="H15" s="6">
        <v>0</v>
      </c>
      <c r="I15" s="6">
        <f>SUM(E15:H15)</f>
        <v>125</v>
      </c>
      <c r="J15" s="11" t="s">
        <v>19</v>
      </c>
      <c r="K15" s="5">
        <v>125</v>
      </c>
    </row>
    <row r="16" spans="1:11" x14ac:dyDescent="0.25">
      <c r="C16" s="1"/>
      <c r="D16" s="9" t="s">
        <v>5</v>
      </c>
      <c r="E16" s="6">
        <v>0</v>
      </c>
      <c r="F16" s="6">
        <v>0</v>
      </c>
      <c r="G16" s="6">
        <v>70</v>
      </c>
      <c r="H16" s="6">
        <v>30</v>
      </c>
      <c r="I16" s="6">
        <f>SUM(E16:H16)</f>
        <v>100</v>
      </c>
      <c r="J16" s="11" t="s">
        <v>19</v>
      </c>
      <c r="K16" s="5">
        <v>100</v>
      </c>
    </row>
    <row r="17" spans="4:8" x14ac:dyDescent="0.25">
      <c r="D17" s="8" t="s">
        <v>13</v>
      </c>
      <c r="E17" s="6">
        <f>SUM(E14:E16)</f>
        <v>80</v>
      </c>
      <c r="F17" s="6">
        <f>SUM(F14:F16)</f>
        <v>65</v>
      </c>
      <c r="G17" s="6">
        <f>SUM(G14:G16)</f>
        <v>70</v>
      </c>
      <c r="H17" s="6">
        <f>SUM(H14:H16)</f>
        <v>85</v>
      </c>
    </row>
    <row r="18" spans="4:8" x14ac:dyDescent="0.25">
      <c r="E18" s="1" t="s">
        <v>19</v>
      </c>
      <c r="F18" s="1" t="s">
        <v>19</v>
      </c>
      <c r="G18" s="1" t="s">
        <v>19</v>
      </c>
      <c r="H18" s="1" t="s">
        <v>19</v>
      </c>
    </row>
    <row r="19" spans="4:8" x14ac:dyDescent="0.25">
      <c r="D19" s="2" t="s">
        <v>17</v>
      </c>
      <c r="E19" s="5">
        <v>80</v>
      </c>
      <c r="F19" s="5">
        <v>65</v>
      </c>
      <c r="G19" s="5">
        <v>70</v>
      </c>
      <c r="H19" s="5">
        <v>85</v>
      </c>
    </row>
    <row r="21" spans="4:8" x14ac:dyDescent="0.25">
      <c r="E21" s="3" t="s">
        <v>20</v>
      </c>
      <c r="F21" s="4">
        <f>SUMPRODUCT(E7:H9,E14:H16)</f>
        <v>152535</v>
      </c>
    </row>
  </sheetData>
  <mergeCells count="4">
    <mergeCell ref="E5:H5"/>
    <mergeCell ref="E12:H12"/>
    <mergeCell ref="A1:C1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selection activeCell="B3" sqref="B3:C3"/>
    </sheetView>
  </sheetViews>
  <sheetFormatPr defaultRowHeight="15" x14ac:dyDescent="0.25"/>
  <cols>
    <col min="1" max="1" width="12.5703125" customWidth="1"/>
    <col min="2" max="2" width="13.5703125" customWidth="1"/>
    <col min="3" max="3" width="13.42578125" customWidth="1"/>
    <col min="4" max="4" width="15.5703125" customWidth="1"/>
    <col min="5" max="5" width="14.140625" customWidth="1"/>
    <col min="6" max="6" width="15.85546875" customWidth="1"/>
    <col min="7" max="7" width="14" customWidth="1"/>
    <col min="8" max="8" width="13.42578125" customWidth="1"/>
    <col min="9" max="9" width="14" customWidth="1"/>
    <col min="10" max="10" width="13.85546875" customWidth="1"/>
    <col min="11" max="11" width="12.140625" customWidth="1"/>
  </cols>
  <sheetData>
    <row r="1" spans="1:11" x14ac:dyDescent="0.25">
      <c r="A1" s="41" t="s">
        <v>18</v>
      </c>
      <c r="B1" s="41"/>
      <c r="C1" s="41"/>
    </row>
    <row r="3" spans="1:11" x14ac:dyDescent="0.25">
      <c r="B3" s="43" t="s">
        <v>32</v>
      </c>
      <c r="C3" s="43"/>
    </row>
    <row r="5" spans="1:11" x14ac:dyDescent="0.25">
      <c r="C5" t="s">
        <v>0</v>
      </c>
      <c r="E5" s="40" t="s">
        <v>1</v>
      </c>
      <c r="F5" s="40"/>
      <c r="G5" s="40"/>
      <c r="H5" s="40"/>
    </row>
    <row r="6" spans="1:11" x14ac:dyDescent="0.25">
      <c r="E6" s="7" t="s">
        <v>33</v>
      </c>
      <c r="F6" s="7" t="s">
        <v>34</v>
      </c>
      <c r="G6" s="7" t="s">
        <v>35</v>
      </c>
      <c r="H6" s="7" t="s">
        <v>36</v>
      </c>
      <c r="I6" s="8" t="s">
        <v>16</v>
      </c>
    </row>
    <row r="7" spans="1:11" x14ac:dyDescent="0.25">
      <c r="C7" s="1" t="s">
        <v>2</v>
      </c>
      <c r="D7" s="9" t="s">
        <v>37</v>
      </c>
      <c r="E7" s="6">
        <v>16</v>
      </c>
      <c r="F7" s="6">
        <v>13</v>
      </c>
      <c r="G7" s="6">
        <v>22</v>
      </c>
      <c r="H7" s="6">
        <v>17</v>
      </c>
      <c r="I7" s="10">
        <v>50</v>
      </c>
    </row>
    <row r="8" spans="1:11" x14ac:dyDescent="0.25">
      <c r="C8" s="1" t="s">
        <v>12</v>
      </c>
      <c r="D8" s="9" t="s">
        <v>39</v>
      </c>
      <c r="E8" s="6">
        <v>14</v>
      </c>
      <c r="F8" s="6">
        <v>13</v>
      </c>
      <c r="G8" s="6">
        <v>19</v>
      </c>
      <c r="H8" s="6">
        <v>15</v>
      </c>
      <c r="I8" s="10">
        <v>60</v>
      </c>
    </row>
    <row r="9" spans="1:11" x14ac:dyDescent="0.25">
      <c r="C9" s="1"/>
      <c r="D9" s="9" t="s">
        <v>38</v>
      </c>
      <c r="E9" s="6">
        <v>19</v>
      </c>
      <c r="F9" s="6">
        <v>20</v>
      </c>
      <c r="G9" s="6">
        <v>23</v>
      </c>
      <c r="H9" s="6">
        <v>99999</v>
      </c>
      <c r="I9" s="10">
        <v>50</v>
      </c>
    </row>
    <row r="10" spans="1:11" x14ac:dyDescent="0.25">
      <c r="D10" s="8" t="s">
        <v>17</v>
      </c>
      <c r="E10" s="10">
        <v>80</v>
      </c>
      <c r="F10" s="10">
        <v>65</v>
      </c>
      <c r="G10" s="10">
        <v>70</v>
      </c>
      <c r="H10" s="10">
        <v>85</v>
      </c>
    </row>
    <row r="12" spans="1:11" x14ac:dyDescent="0.25">
      <c r="C12" t="s">
        <v>10</v>
      </c>
      <c r="E12" s="40" t="s">
        <v>1</v>
      </c>
      <c r="F12" s="40"/>
      <c r="G12" s="40"/>
      <c r="H12" s="40"/>
    </row>
    <row r="13" spans="1:11" x14ac:dyDescent="0.25">
      <c r="C13" t="s">
        <v>11</v>
      </c>
      <c r="E13" s="7" t="s">
        <v>33</v>
      </c>
      <c r="F13" s="7" t="s">
        <v>34</v>
      </c>
      <c r="G13" s="7" t="s">
        <v>35</v>
      </c>
      <c r="H13" s="7" t="s">
        <v>36</v>
      </c>
      <c r="I13" s="8" t="s">
        <v>14</v>
      </c>
      <c r="K13" s="2" t="s">
        <v>16</v>
      </c>
    </row>
    <row r="14" spans="1:11" x14ac:dyDescent="0.25">
      <c r="C14" s="1" t="s">
        <v>2</v>
      </c>
      <c r="D14" s="9" t="s">
        <v>37</v>
      </c>
      <c r="E14" s="6">
        <v>0</v>
      </c>
      <c r="F14" s="6">
        <v>50</v>
      </c>
      <c r="G14" s="6">
        <v>0</v>
      </c>
      <c r="H14" s="6">
        <v>0</v>
      </c>
      <c r="I14" s="6">
        <f>SUM(E14:H14)</f>
        <v>50</v>
      </c>
      <c r="J14" s="11" t="s">
        <v>19</v>
      </c>
      <c r="K14" s="5">
        <v>50</v>
      </c>
    </row>
    <row r="15" spans="1:11" x14ac:dyDescent="0.25">
      <c r="C15" s="1" t="s">
        <v>12</v>
      </c>
      <c r="D15" s="9" t="s">
        <v>39</v>
      </c>
      <c r="E15" s="6">
        <v>30</v>
      </c>
      <c r="F15" s="6">
        <v>15</v>
      </c>
      <c r="G15" s="6">
        <v>0</v>
      </c>
      <c r="H15" s="6">
        <v>15</v>
      </c>
      <c r="I15" s="6">
        <f>SUM(E15:H15)</f>
        <v>60</v>
      </c>
      <c r="J15" s="11" t="s">
        <v>19</v>
      </c>
      <c r="K15" s="5">
        <v>60</v>
      </c>
    </row>
    <row r="16" spans="1:11" x14ac:dyDescent="0.25">
      <c r="C16" s="1"/>
      <c r="D16" s="9" t="s">
        <v>38</v>
      </c>
      <c r="E16" s="6">
        <v>50</v>
      </c>
      <c r="F16" s="6">
        <v>0</v>
      </c>
      <c r="G16" s="6">
        <v>0</v>
      </c>
      <c r="H16" s="6">
        <v>0</v>
      </c>
      <c r="I16" s="6">
        <f>SUM(E16:H16)</f>
        <v>50</v>
      </c>
      <c r="J16" s="11" t="s">
        <v>19</v>
      </c>
      <c r="K16" s="5">
        <v>50</v>
      </c>
    </row>
    <row r="17" spans="4:8" x14ac:dyDescent="0.25">
      <c r="D17" s="8" t="s">
        <v>13</v>
      </c>
      <c r="E17" s="6">
        <f>SUM(E14:E16)</f>
        <v>80</v>
      </c>
      <c r="F17" s="6">
        <f>SUM(F14:F16)</f>
        <v>65</v>
      </c>
      <c r="G17" s="6">
        <f>SUM(G14:G16)</f>
        <v>0</v>
      </c>
      <c r="H17" s="6">
        <f>SUM(H14:H16)</f>
        <v>15</v>
      </c>
    </row>
    <row r="18" spans="4:8" x14ac:dyDescent="0.25">
      <c r="E18" s="1" t="s">
        <v>19</v>
      </c>
      <c r="F18" s="1" t="s">
        <v>19</v>
      </c>
      <c r="G18" s="1" t="s">
        <v>19</v>
      </c>
      <c r="H18" s="1" t="s">
        <v>19</v>
      </c>
    </row>
    <row r="19" spans="4:8" x14ac:dyDescent="0.25">
      <c r="D19" s="2" t="s">
        <v>17</v>
      </c>
      <c r="E19" s="5">
        <v>80</v>
      </c>
      <c r="F19" s="5">
        <v>65</v>
      </c>
      <c r="G19" s="5">
        <v>70</v>
      </c>
      <c r="H19" s="5">
        <v>85</v>
      </c>
    </row>
    <row r="21" spans="4:8" x14ac:dyDescent="0.25">
      <c r="E21" s="3" t="s">
        <v>20</v>
      </c>
      <c r="F21" s="4">
        <f>SUMPRODUCT(E7:H9,E14:H16)</f>
        <v>2440</v>
      </c>
    </row>
  </sheetData>
  <mergeCells count="4">
    <mergeCell ref="E5:H5"/>
    <mergeCell ref="E12:H12"/>
    <mergeCell ref="B3:C3"/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sqref="A1:C1"/>
    </sheetView>
  </sheetViews>
  <sheetFormatPr defaultRowHeight="15" x14ac:dyDescent="0.25"/>
  <cols>
    <col min="1" max="1" width="12.7109375" customWidth="1"/>
    <col min="2" max="2" width="13.85546875" customWidth="1"/>
    <col min="3" max="3" width="12.7109375" customWidth="1"/>
    <col min="4" max="4" width="15.7109375" customWidth="1"/>
    <col min="5" max="5" width="14.5703125" customWidth="1"/>
    <col min="6" max="6" width="15.7109375" customWidth="1"/>
    <col min="7" max="7" width="14.85546875" customWidth="1"/>
    <col min="8" max="8" width="14.5703125" customWidth="1"/>
    <col min="9" max="9" width="14.42578125" customWidth="1"/>
    <col min="11" max="11" width="12.140625" customWidth="1"/>
  </cols>
  <sheetData>
    <row r="1" spans="1:11" x14ac:dyDescent="0.25">
      <c r="A1" s="41" t="s">
        <v>21</v>
      </c>
      <c r="B1" s="41"/>
      <c r="C1" s="41"/>
    </row>
    <row r="5" spans="1:11" x14ac:dyDescent="0.25">
      <c r="C5" t="s">
        <v>0</v>
      </c>
      <c r="E5" s="40" t="s">
        <v>22</v>
      </c>
      <c r="F5" s="40"/>
      <c r="G5" s="40"/>
      <c r="H5" s="40"/>
    </row>
    <row r="6" spans="1:11" x14ac:dyDescent="0.25">
      <c r="E6" s="7" t="s">
        <v>24</v>
      </c>
      <c r="F6" s="7" t="s">
        <v>25</v>
      </c>
      <c r="G6" s="7" t="s">
        <v>26</v>
      </c>
      <c r="H6" s="7" t="s">
        <v>27</v>
      </c>
    </row>
    <row r="7" spans="1:11" x14ac:dyDescent="0.25">
      <c r="C7" s="1"/>
      <c r="D7" s="9" t="s">
        <v>28</v>
      </c>
      <c r="E7" s="6">
        <v>13</v>
      </c>
      <c r="F7" s="6">
        <v>16</v>
      </c>
      <c r="G7" s="6">
        <v>12</v>
      </c>
      <c r="H7" s="6">
        <v>11</v>
      </c>
    </row>
    <row r="8" spans="1:11" x14ac:dyDescent="0.25">
      <c r="C8" s="1" t="s">
        <v>23</v>
      </c>
      <c r="D8" s="9" t="s">
        <v>29</v>
      </c>
      <c r="E8" s="6">
        <v>15</v>
      </c>
      <c r="F8" s="6">
        <v>99999</v>
      </c>
      <c r="G8" s="6">
        <v>13</v>
      </c>
      <c r="H8" s="6">
        <v>20</v>
      </c>
    </row>
    <row r="9" spans="1:11" x14ac:dyDescent="0.25">
      <c r="C9" s="1"/>
      <c r="D9" s="9" t="s">
        <v>30</v>
      </c>
      <c r="E9" s="6">
        <v>5</v>
      </c>
      <c r="F9" s="6">
        <v>7</v>
      </c>
      <c r="G9" s="6">
        <v>10</v>
      </c>
      <c r="H9" s="6">
        <v>6</v>
      </c>
    </row>
    <row r="11" spans="1:11" x14ac:dyDescent="0.25">
      <c r="C11" t="s">
        <v>0</v>
      </c>
      <c r="E11" s="40" t="s">
        <v>22</v>
      </c>
      <c r="F11" s="40"/>
      <c r="G11" s="40"/>
      <c r="H11" s="40"/>
    </row>
    <row r="12" spans="1:11" x14ac:dyDescent="0.25">
      <c r="E12" s="7" t="s">
        <v>24</v>
      </c>
      <c r="F12" s="7" t="s">
        <v>25</v>
      </c>
      <c r="G12" s="7" t="s">
        <v>26</v>
      </c>
      <c r="H12" s="7" t="s">
        <v>27</v>
      </c>
      <c r="I12" s="8" t="s">
        <v>14</v>
      </c>
      <c r="K12" s="2" t="s">
        <v>16</v>
      </c>
    </row>
    <row r="13" spans="1:11" x14ac:dyDescent="0.25">
      <c r="C13" s="1"/>
      <c r="D13" s="9" t="s">
        <v>28</v>
      </c>
      <c r="E13" s="6">
        <v>0</v>
      </c>
      <c r="F13" s="6">
        <v>0</v>
      </c>
      <c r="G13" s="6">
        <v>0</v>
      </c>
      <c r="H13" s="6">
        <v>1</v>
      </c>
      <c r="I13" s="10">
        <f>SUM(E13:H13)</f>
        <v>1</v>
      </c>
      <c r="J13" s="11" t="s">
        <v>19</v>
      </c>
      <c r="K13" s="5">
        <v>1</v>
      </c>
    </row>
    <row r="14" spans="1:11" x14ac:dyDescent="0.25">
      <c r="C14" s="1" t="s">
        <v>23</v>
      </c>
      <c r="D14" s="9" t="s">
        <v>29</v>
      </c>
      <c r="E14" s="6">
        <v>0</v>
      </c>
      <c r="F14" s="6">
        <v>0</v>
      </c>
      <c r="G14" s="6">
        <v>1</v>
      </c>
      <c r="H14" s="6">
        <v>0</v>
      </c>
      <c r="I14" s="10">
        <f t="shared" ref="I14:I15" si="0">SUM(E14:H14)</f>
        <v>1</v>
      </c>
      <c r="J14" s="11" t="s">
        <v>19</v>
      </c>
      <c r="K14" s="5">
        <v>1</v>
      </c>
    </row>
    <row r="15" spans="1:11" x14ac:dyDescent="0.25">
      <c r="C15" s="1"/>
      <c r="D15" s="9" t="s">
        <v>30</v>
      </c>
      <c r="E15" s="6">
        <v>1</v>
      </c>
      <c r="F15" s="6">
        <v>0</v>
      </c>
      <c r="G15" s="6">
        <v>0</v>
      </c>
      <c r="H15" s="6">
        <v>0</v>
      </c>
      <c r="I15" s="10">
        <f t="shared" si="0"/>
        <v>1</v>
      </c>
      <c r="J15" s="11" t="s">
        <v>19</v>
      </c>
      <c r="K15" s="5">
        <v>1</v>
      </c>
    </row>
    <row r="16" spans="1:11" x14ac:dyDescent="0.25">
      <c r="D16" s="8" t="s">
        <v>13</v>
      </c>
      <c r="E16" s="10">
        <f>SUM(E13:E15)</f>
        <v>1</v>
      </c>
      <c r="F16" s="10">
        <f>SUM(F13:F15)</f>
        <v>0</v>
      </c>
      <c r="G16" s="10">
        <f>SUM(G13:G15)</f>
        <v>1</v>
      </c>
      <c r="H16" s="10">
        <f>SUM(H13:H15)</f>
        <v>1</v>
      </c>
    </row>
    <row r="17" spans="4:8" x14ac:dyDescent="0.25">
      <c r="E17" s="1" t="s">
        <v>19</v>
      </c>
      <c r="F17" s="1" t="s">
        <v>19</v>
      </c>
      <c r="G17" s="1" t="s">
        <v>19</v>
      </c>
      <c r="H17" s="1" t="s">
        <v>19</v>
      </c>
    </row>
    <row r="18" spans="4:8" x14ac:dyDescent="0.25">
      <c r="D18" s="2" t="s">
        <v>17</v>
      </c>
      <c r="E18" s="5">
        <v>1</v>
      </c>
      <c r="F18" s="5">
        <v>1</v>
      </c>
      <c r="G18" s="5">
        <v>1</v>
      </c>
      <c r="H18" s="5">
        <v>1</v>
      </c>
    </row>
    <row r="20" spans="4:8" x14ac:dyDescent="0.25">
      <c r="E20" s="3" t="s">
        <v>20</v>
      </c>
      <c r="F20" s="4">
        <f>SUMPRODUCT(E7:H9,E13:H15)</f>
        <v>29</v>
      </c>
    </row>
  </sheetData>
  <mergeCells count="3">
    <mergeCell ref="A1:C1"/>
    <mergeCell ref="E5:H5"/>
    <mergeCell ref="E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"/>
  <sheetViews>
    <sheetView workbookViewId="0">
      <selection sqref="A1:C1"/>
    </sheetView>
  </sheetViews>
  <sheetFormatPr defaultRowHeight="15" x14ac:dyDescent="0.25"/>
  <cols>
    <col min="1" max="1" width="10.85546875" customWidth="1"/>
    <col min="2" max="3" width="12.5703125" customWidth="1"/>
    <col min="4" max="4" width="11.5703125" customWidth="1"/>
    <col min="5" max="6" width="11.140625" customWidth="1"/>
    <col min="7" max="7" width="10.42578125" customWidth="1"/>
    <col min="8" max="8" width="11" customWidth="1"/>
    <col min="9" max="9" width="15.28515625" customWidth="1"/>
    <col min="10" max="10" width="11.7109375" customWidth="1"/>
    <col min="11" max="11" width="7.42578125" customWidth="1"/>
    <col min="12" max="12" width="8.42578125" customWidth="1"/>
  </cols>
  <sheetData>
    <row r="1" spans="1:12" x14ac:dyDescent="0.25">
      <c r="A1" s="39" t="s">
        <v>65</v>
      </c>
      <c r="B1" s="39"/>
      <c r="C1" s="39"/>
    </row>
    <row r="3" spans="1:12" x14ac:dyDescent="0.25">
      <c r="B3" s="13" t="s">
        <v>40</v>
      </c>
      <c r="C3" s="13" t="s">
        <v>41</v>
      </c>
      <c r="D3" s="13" t="s">
        <v>59</v>
      </c>
      <c r="E3" s="13"/>
      <c r="F3" s="13" t="s">
        <v>60</v>
      </c>
      <c r="G3" s="14" t="s">
        <v>44</v>
      </c>
      <c r="H3" s="14" t="s">
        <v>46</v>
      </c>
      <c r="I3" s="14" t="s">
        <v>61</v>
      </c>
      <c r="J3" s="14" t="s">
        <v>63</v>
      </c>
      <c r="K3" s="14" t="s">
        <v>55</v>
      </c>
      <c r="L3" s="14" t="s">
        <v>56</v>
      </c>
    </row>
    <row r="4" spans="1:12" x14ac:dyDescent="0.25">
      <c r="B4" s="15" t="s">
        <v>47</v>
      </c>
      <c r="C4" s="15" t="s">
        <v>48</v>
      </c>
      <c r="D4" s="12">
        <v>3</v>
      </c>
      <c r="E4" s="19" t="s">
        <v>62</v>
      </c>
      <c r="F4" s="15">
        <v>5</v>
      </c>
      <c r="G4" s="16" t="s">
        <v>47</v>
      </c>
      <c r="H4" s="12">
        <f>SUMIF($B$4:$B$15,G4,$D$4:$D$15)</f>
        <v>14</v>
      </c>
      <c r="I4" s="12">
        <f>SUMIF($C$4:$C$15,G4,$D$4:$D$15)</f>
        <v>0</v>
      </c>
      <c r="J4" s="12">
        <f>H4-I4</f>
        <v>14</v>
      </c>
      <c r="K4" s="12"/>
      <c r="L4" s="12"/>
    </row>
    <row r="5" spans="1:12" x14ac:dyDescent="0.25">
      <c r="B5" s="15" t="s">
        <v>47</v>
      </c>
      <c r="C5" s="15" t="s">
        <v>49</v>
      </c>
      <c r="D5" s="12">
        <v>7</v>
      </c>
      <c r="E5" s="19" t="s">
        <v>62</v>
      </c>
      <c r="F5" s="15">
        <v>7</v>
      </c>
      <c r="G5" s="16" t="s">
        <v>48</v>
      </c>
      <c r="H5" s="12">
        <f t="shared" ref="H5:H10" si="0">SUMIF($B$4:$B$15,G5,$D$4:$D$15)</f>
        <v>3</v>
      </c>
      <c r="I5" s="12">
        <f t="shared" ref="I5:I10" si="1">SUMIF($C$4:$C$15,G5,$D$4:$D$15)</f>
        <v>3</v>
      </c>
      <c r="J5" s="12">
        <f>H5-I5</f>
        <v>0</v>
      </c>
      <c r="K5" s="16" t="s">
        <v>19</v>
      </c>
      <c r="L5" s="16">
        <v>0</v>
      </c>
    </row>
    <row r="6" spans="1:12" x14ac:dyDescent="0.25">
      <c r="B6" s="15" t="s">
        <v>47</v>
      </c>
      <c r="C6" s="15" t="s">
        <v>50</v>
      </c>
      <c r="D6" s="12">
        <v>4</v>
      </c>
      <c r="E6" s="19" t="s">
        <v>62</v>
      </c>
      <c r="F6" s="15">
        <v>4</v>
      </c>
      <c r="G6" s="16" t="s">
        <v>49</v>
      </c>
      <c r="H6" s="12">
        <f t="shared" si="0"/>
        <v>7</v>
      </c>
      <c r="I6" s="12">
        <f t="shared" si="1"/>
        <v>7</v>
      </c>
      <c r="J6" s="12">
        <f t="shared" ref="J6:J10" si="2">H6-I6</f>
        <v>0</v>
      </c>
      <c r="K6" s="16" t="s">
        <v>19</v>
      </c>
      <c r="L6" s="16">
        <v>0</v>
      </c>
    </row>
    <row r="7" spans="1:12" x14ac:dyDescent="0.25">
      <c r="B7" s="15" t="s">
        <v>48</v>
      </c>
      <c r="C7" s="15" t="s">
        <v>49</v>
      </c>
      <c r="D7" s="12">
        <v>0</v>
      </c>
      <c r="E7" s="19" t="s">
        <v>62</v>
      </c>
      <c r="F7" s="15">
        <v>1</v>
      </c>
      <c r="G7" s="16" t="s">
        <v>50</v>
      </c>
      <c r="H7" s="12">
        <f t="shared" si="0"/>
        <v>4</v>
      </c>
      <c r="I7" s="12">
        <f t="shared" si="1"/>
        <v>4</v>
      </c>
      <c r="J7" s="12">
        <f t="shared" si="2"/>
        <v>0</v>
      </c>
      <c r="K7" s="16" t="s">
        <v>19</v>
      </c>
      <c r="L7" s="16">
        <v>0</v>
      </c>
    </row>
    <row r="8" spans="1:12" x14ac:dyDescent="0.25">
      <c r="B8" s="15" t="s">
        <v>48</v>
      </c>
      <c r="C8" s="15" t="s">
        <v>51</v>
      </c>
      <c r="D8" s="12">
        <v>3</v>
      </c>
      <c r="E8" s="19" t="s">
        <v>62</v>
      </c>
      <c r="F8" s="15">
        <v>3</v>
      </c>
      <c r="G8" s="16" t="s">
        <v>51</v>
      </c>
      <c r="H8" s="12">
        <f t="shared" si="0"/>
        <v>8</v>
      </c>
      <c r="I8" s="12">
        <f t="shared" si="1"/>
        <v>8</v>
      </c>
      <c r="J8" s="12">
        <f t="shared" si="2"/>
        <v>0</v>
      </c>
      <c r="K8" s="16" t="s">
        <v>19</v>
      </c>
      <c r="L8" s="16">
        <v>0</v>
      </c>
    </row>
    <row r="9" spans="1:12" x14ac:dyDescent="0.25">
      <c r="B9" s="15" t="s">
        <v>49</v>
      </c>
      <c r="C9" s="15" t="s">
        <v>50</v>
      </c>
      <c r="D9" s="12">
        <v>0</v>
      </c>
      <c r="E9" s="19" t="s">
        <v>62</v>
      </c>
      <c r="F9" s="15">
        <v>2</v>
      </c>
      <c r="G9" s="16" t="s">
        <v>52</v>
      </c>
      <c r="H9" s="12">
        <f t="shared" si="0"/>
        <v>7</v>
      </c>
      <c r="I9" s="12">
        <f t="shared" si="1"/>
        <v>7</v>
      </c>
      <c r="J9" s="12">
        <f t="shared" si="2"/>
        <v>0</v>
      </c>
      <c r="K9" s="16" t="s">
        <v>19</v>
      </c>
      <c r="L9" s="16">
        <v>0</v>
      </c>
    </row>
    <row r="10" spans="1:12" x14ac:dyDescent="0.25">
      <c r="B10" s="15" t="s">
        <v>49</v>
      </c>
      <c r="C10" s="15" t="s">
        <v>51</v>
      </c>
      <c r="D10" s="12">
        <v>4</v>
      </c>
      <c r="E10" s="19" t="s">
        <v>62</v>
      </c>
      <c r="F10" s="15">
        <v>4</v>
      </c>
      <c r="G10" s="16" t="s">
        <v>53</v>
      </c>
      <c r="H10" s="12">
        <f t="shared" si="0"/>
        <v>0</v>
      </c>
      <c r="I10" s="12">
        <f t="shared" si="1"/>
        <v>14</v>
      </c>
      <c r="J10" s="12">
        <f t="shared" si="2"/>
        <v>-14</v>
      </c>
      <c r="K10" s="12"/>
      <c r="L10" s="12"/>
    </row>
    <row r="11" spans="1:12" x14ac:dyDescent="0.25">
      <c r="B11" s="15" t="s">
        <v>49</v>
      </c>
      <c r="C11" s="15" t="s">
        <v>52</v>
      </c>
      <c r="D11" s="12">
        <v>3</v>
      </c>
      <c r="E11" s="19" t="s">
        <v>62</v>
      </c>
      <c r="F11" s="15">
        <v>5</v>
      </c>
    </row>
    <row r="12" spans="1:12" x14ac:dyDescent="0.25">
      <c r="B12" s="15" t="s">
        <v>50</v>
      </c>
      <c r="C12" s="15" t="s">
        <v>52</v>
      </c>
      <c r="D12" s="12">
        <v>4</v>
      </c>
      <c r="E12" s="19" t="s">
        <v>62</v>
      </c>
      <c r="F12" s="15">
        <v>4</v>
      </c>
    </row>
    <row r="13" spans="1:12" x14ac:dyDescent="0.25">
      <c r="B13" s="15" t="s">
        <v>51</v>
      </c>
      <c r="C13" s="15" t="s">
        <v>53</v>
      </c>
      <c r="D13" s="12">
        <v>8</v>
      </c>
      <c r="E13" s="19" t="s">
        <v>62</v>
      </c>
      <c r="F13" s="15">
        <v>9</v>
      </c>
    </row>
    <row r="14" spans="1:12" x14ac:dyDescent="0.25">
      <c r="B14" s="15" t="s">
        <v>52</v>
      </c>
      <c r="C14" s="15" t="s">
        <v>51</v>
      </c>
      <c r="D14" s="12">
        <v>1</v>
      </c>
      <c r="E14" s="19" t="s">
        <v>62</v>
      </c>
      <c r="F14" s="15">
        <v>1</v>
      </c>
    </row>
    <row r="15" spans="1:12" x14ac:dyDescent="0.25">
      <c r="B15" s="15" t="s">
        <v>52</v>
      </c>
      <c r="C15" s="15" t="s">
        <v>53</v>
      </c>
      <c r="D15" s="12">
        <v>6</v>
      </c>
      <c r="E15" s="19" t="s">
        <v>62</v>
      </c>
      <c r="F15" s="15">
        <v>6</v>
      </c>
    </row>
    <row r="17" spans="4:6" x14ac:dyDescent="0.25">
      <c r="D17" s="44" t="s">
        <v>64</v>
      </c>
      <c r="E17" s="45"/>
      <c r="F17" s="10">
        <f>J4</f>
        <v>14</v>
      </c>
    </row>
  </sheetData>
  <mergeCells count="2">
    <mergeCell ref="A1:C1"/>
    <mergeCell ref="D17:E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>
      <selection activeCell="A2" sqref="A2:B2"/>
    </sheetView>
  </sheetViews>
  <sheetFormatPr defaultRowHeight="15" x14ac:dyDescent="0.25"/>
  <cols>
    <col min="1" max="1" width="10.5703125" customWidth="1"/>
    <col min="2" max="2" width="13" customWidth="1"/>
    <col min="3" max="3" width="12.28515625" customWidth="1"/>
    <col min="4" max="4" width="11.5703125" customWidth="1"/>
    <col min="5" max="6" width="11.140625" customWidth="1"/>
    <col min="7" max="7" width="10.42578125" customWidth="1"/>
    <col min="8" max="8" width="11" customWidth="1"/>
    <col min="9" max="9" width="15.28515625" customWidth="1"/>
    <col min="10" max="10" width="11.7109375" customWidth="1"/>
    <col min="11" max="11" width="7.42578125" customWidth="1"/>
    <col min="12" max="12" width="8.42578125" customWidth="1"/>
  </cols>
  <sheetData>
    <row r="1" spans="1:12" x14ac:dyDescent="0.25">
      <c r="A1" s="39" t="s">
        <v>65</v>
      </c>
      <c r="B1" s="39"/>
      <c r="C1" s="39"/>
    </row>
    <row r="2" spans="1:12" x14ac:dyDescent="0.25">
      <c r="A2" s="39" t="s">
        <v>66</v>
      </c>
      <c r="B2" s="39"/>
    </row>
    <row r="3" spans="1:12" x14ac:dyDescent="0.25">
      <c r="B3" s="37" t="s">
        <v>40</v>
      </c>
      <c r="C3" s="13" t="s">
        <v>41</v>
      </c>
      <c r="D3" s="13" t="s">
        <v>59</v>
      </c>
      <c r="E3" s="13"/>
      <c r="F3" s="13" t="s">
        <v>60</v>
      </c>
      <c r="G3" s="14" t="s">
        <v>44</v>
      </c>
      <c r="H3" s="14" t="s">
        <v>46</v>
      </c>
      <c r="I3" s="14" t="s">
        <v>61</v>
      </c>
      <c r="J3" s="14" t="s">
        <v>63</v>
      </c>
      <c r="K3" s="14" t="s">
        <v>55</v>
      </c>
      <c r="L3" s="14" t="s">
        <v>56</v>
      </c>
    </row>
    <row r="4" spans="1:12" x14ac:dyDescent="0.25">
      <c r="B4" s="15">
        <v>0</v>
      </c>
      <c r="C4" s="15">
        <v>1</v>
      </c>
      <c r="D4" s="12">
        <v>11</v>
      </c>
      <c r="E4" s="19" t="s">
        <v>62</v>
      </c>
      <c r="F4" s="15">
        <v>11</v>
      </c>
      <c r="G4" s="16">
        <v>0</v>
      </c>
      <c r="H4" s="12">
        <f>SUMIF($B$4:$B$11,G4,$D$4:$D$11)</f>
        <v>23</v>
      </c>
      <c r="I4" s="12">
        <f>SUMIF($C$4:$C$11,G4,$D$4:$D$11)</f>
        <v>0</v>
      </c>
      <c r="J4" s="12">
        <f>H4-I4</f>
        <v>23</v>
      </c>
      <c r="K4" s="12"/>
      <c r="L4" s="12"/>
    </row>
    <row r="5" spans="1:12" x14ac:dyDescent="0.25">
      <c r="B5" s="15">
        <v>0</v>
      </c>
      <c r="C5" s="15">
        <v>2</v>
      </c>
      <c r="D5" s="12">
        <v>12</v>
      </c>
      <c r="E5" s="19" t="s">
        <v>62</v>
      </c>
      <c r="F5" s="15">
        <v>12</v>
      </c>
      <c r="G5" s="16">
        <v>1</v>
      </c>
      <c r="H5" s="12">
        <f t="shared" ref="H5:H9" si="0">SUMIF($B$4:$B$11,G5,$D$4:$D$11)</f>
        <v>12</v>
      </c>
      <c r="I5" s="12">
        <f t="shared" ref="I5:I9" si="1">SUMIF($C$4:$C$11,G5,$D$4:$D$11)</f>
        <v>12</v>
      </c>
      <c r="J5" s="12">
        <f>H5-I5</f>
        <v>0</v>
      </c>
      <c r="K5" s="16" t="s">
        <v>19</v>
      </c>
      <c r="L5" s="16">
        <v>0</v>
      </c>
    </row>
    <row r="6" spans="1:12" x14ac:dyDescent="0.25">
      <c r="B6" s="15">
        <v>1</v>
      </c>
      <c r="C6" s="15">
        <v>3</v>
      </c>
      <c r="D6" s="12">
        <v>12</v>
      </c>
      <c r="E6" s="19" t="s">
        <v>62</v>
      </c>
      <c r="F6" s="15">
        <v>12</v>
      </c>
      <c r="G6" s="16">
        <v>2</v>
      </c>
      <c r="H6" s="12">
        <f t="shared" si="0"/>
        <v>12</v>
      </c>
      <c r="I6" s="12">
        <f t="shared" si="1"/>
        <v>12</v>
      </c>
      <c r="J6" s="12">
        <f t="shared" ref="J6:J9" si="2">H6-I6</f>
        <v>0</v>
      </c>
      <c r="K6" s="16" t="s">
        <v>19</v>
      </c>
      <c r="L6" s="16">
        <v>0</v>
      </c>
    </row>
    <row r="7" spans="1:12" x14ac:dyDescent="0.25">
      <c r="B7" s="15">
        <v>2</v>
      </c>
      <c r="C7" s="15">
        <v>1</v>
      </c>
      <c r="D7" s="12">
        <v>1</v>
      </c>
      <c r="E7" s="19" t="s">
        <v>62</v>
      </c>
      <c r="F7" s="15">
        <v>1</v>
      </c>
      <c r="G7" s="16">
        <v>3</v>
      </c>
      <c r="H7" s="12">
        <f t="shared" si="0"/>
        <v>19</v>
      </c>
      <c r="I7" s="12">
        <f t="shared" si="1"/>
        <v>19</v>
      </c>
      <c r="J7" s="12">
        <f t="shared" si="2"/>
        <v>0</v>
      </c>
      <c r="K7" s="16" t="s">
        <v>19</v>
      </c>
      <c r="L7" s="16">
        <v>0</v>
      </c>
    </row>
    <row r="8" spans="1:12" x14ac:dyDescent="0.25">
      <c r="B8" s="15">
        <v>2</v>
      </c>
      <c r="C8" s="15">
        <v>4</v>
      </c>
      <c r="D8" s="12">
        <v>11</v>
      </c>
      <c r="E8" s="19" t="s">
        <v>62</v>
      </c>
      <c r="F8" s="15">
        <v>11</v>
      </c>
      <c r="G8" s="16">
        <v>4</v>
      </c>
      <c r="H8" s="12">
        <f t="shared" si="0"/>
        <v>11</v>
      </c>
      <c r="I8" s="12">
        <f t="shared" si="1"/>
        <v>11</v>
      </c>
      <c r="J8" s="12">
        <f t="shared" si="2"/>
        <v>0</v>
      </c>
      <c r="K8" s="16" t="s">
        <v>19</v>
      </c>
      <c r="L8" s="16">
        <v>0</v>
      </c>
    </row>
    <row r="9" spans="1:12" x14ac:dyDescent="0.25">
      <c r="B9" s="15">
        <v>3</v>
      </c>
      <c r="C9" s="15">
        <v>5</v>
      </c>
      <c r="D9" s="12">
        <v>19</v>
      </c>
      <c r="E9" s="19" t="s">
        <v>62</v>
      </c>
      <c r="F9" s="15">
        <v>19</v>
      </c>
      <c r="G9" s="16">
        <v>5</v>
      </c>
      <c r="H9" s="12">
        <f t="shared" si="0"/>
        <v>0</v>
      </c>
      <c r="I9" s="12">
        <f t="shared" si="1"/>
        <v>23</v>
      </c>
      <c r="J9" s="12">
        <f t="shared" si="2"/>
        <v>-23</v>
      </c>
      <c r="K9" s="12" t="s">
        <v>19</v>
      </c>
      <c r="L9" s="12">
        <v>0</v>
      </c>
    </row>
    <row r="10" spans="1:12" x14ac:dyDescent="0.25">
      <c r="B10" s="15">
        <v>4</v>
      </c>
      <c r="C10" s="15">
        <v>3</v>
      </c>
      <c r="D10" s="12">
        <v>7</v>
      </c>
      <c r="E10" s="19" t="s">
        <v>62</v>
      </c>
      <c r="F10" s="15">
        <v>7</v>
      </c>
      <c r="G10" s="1"/>
      <c r="H10" s="1"/>
      <c r="I10" s="1"/>
      <c r="J10" s="1"/>
      <c r="K10" s="1"/>
      <c r="L10" s="1"/>
    </row>
    <row r="11" spans="1:12" x14ac:dyDescent="0.25">
      <c r="B11" s="15">
        <v>4</v>
      </c>
      <c r="C11" s="15">
        <v>5</v>
      </c>
      <c r="D11" s="12">
        <v>4</v>
      </c>
      <c r="E11" s="19" t="s">
        <v>62</v>
      </c>
      <c r="F11" s="15">
        <v>4</v>
      </c>
    </row>
    <row r="12" spans="1:12" x14ac:dyDescent="0.25">
      <c r="B12" s="1"/>
      <c r="C12" s="1"/>
      <c r="D12" s="1"/>
      <c r="E12" s="20"/>
      <c r="F12" s="1"/>
    </row>
    <row r="13" spans="1:12" x14ac:dyDescent="0.25">
      <c r="B13" s="1"/>
      <c r="C13" s="1"/>
      <c r="D13" s="1"/>
      <c r="E13" s="20"/>
      <c r="F13" s="1"/>
    </row>
    <row r="14" spans="1:12" x14ac:dyDescent="0.25">
      <c r="B14" s="1"/>
      <c r="C14" s="1"/>
      <c r="D14" s="1"/>
      <c r="E14" s="20"/>
      <c r="F14" s="1"/>
    </row>
    <row r="15" spans="1:12" x14ac:dyDescent="0.25">
      <c r="B15" s="1"/>
      <c r="C15" s="1"/>
      <c r="D15" s="1"/>
      <c r="E15" s="20"/>
      <c r="F15" s="1"/>
    </row>
    <row r="17" spans="4:6" x14ac:dyDescent="0.25">
      <c r="D17" s="44" t="s">
        <v>64</v>
      </c>
      <c r="E17" s="45"/>
      <c r="F17" s="10">
        <f>J4</f>
        <v>23</v>
      </c>
    </row>
  </sheetData>
  <mergeCells count="3">
    <mergeCell ref="A1:C1"/>
    <mergeCell ref="D17:E17"/>
    <mergeCell ref="A2:B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workbookViewId="0">
      <selection activeCell="A2" sqref="A2:B2"/>
    </sheetView>
  </sheetViews>
  <sheetFormatPr defaultRowHeight="15" x14ac:dyDescent="0.25"/>
  <cols>
    <col min="1" max="1" width="10.5703125" customWidth="1"/>
    <col min="2" max="2" width="13" customWidth="1"/>
    <col min="3" max="3" width="12.28515625" customWidth="1"/>
    <col min="4" max="4" width="11.5703125" customWidth="1"/>
    <col min="5" max="6" width="11.140625" customWidth="1"/>
    <col min="7" max="7" width="10.42578125" customWidth="1"/>
    <col min="8" max="8" width="11" customWidth="1"/>
    <col min="9" max="9" width="15.28515625" customWidth="1"/>
    <col min="10" max="10" width="11.7109375" customWidth="1"/>
    <col min="11" max="11" width="7.42578125" customWidth="1"/>
    <col min="12" max="12" width="8.42578125" customWidth="1"/>
  </cols>
  <sheetData>
    <row r="1" spans="1:12" x14ac:dyDescent="0.25">
      <c r="A1" s="39" t="s">
        <v>65</v>
      </c>
      <c r="B1" s="39"/>
      <c r="C1" s="39"/>
    </row>
    <row r="2" spans="1:12" x14ac:dyDescent="0.25">
      <c r="A2" s="39" t="s">
        <v>67</v>
      </c>
      <c r="B2" s="39"/>
    </row>
    <row r="3" spans="1:12" x14ac:dyDescent="0.25">
      <c r="B3" s="37" t="s">
        <v>40</v>
      </c>
      <c r="C3" s="13" t="s">
        <v>41</v>
      </c>
      <c r="D3" s="13" t="s">
        <v>59</v>
      </c>
      <c r="E3" s="13"/>
      <c r="F3" s="13" t="s">
        <v>60</v>
      </c>
      <c r="G3" s="14" t="s">
        <v>44</v>
      </c>
      <c r="H3" s="14" t="s">
        <v>46</v>
      </c>
      <c r="I3" s="14" t="s">
        <v>61</v>
      </c>
      <c r="J3" s="14" t="s">
        <v>63</v>
      </c>
      <c r="K3" s="14" t="s">
        <v>55</v>
      </c>
      <c r="L3" s="14" t="s">
        <v>56</v>
      </c>
    </row>
    <row r="4" spans="1:12" x14ac:dyDescent="0.25">
      <c r="B4" s="15" t="s">
        <v>68</v>
      </c>
      <c r="C4" s="15" t="s">
        <v>69</v>
      </c>
      <c r="D4" s="12">
        <v>20</v>
      </c>
      <c r="E4" s="19" t="s">
        <v>62</v>
      </c>
      <c r="F4" s="15">
        <v>26</v>
      </c>
      <c r="G4" s="16" t="s">
        <v>68</v>
      </c>
      <c r="H4" s="12">
        <f>SUMIF($B$4:$B$19,G4,$D$4:$D$19)</f>
        <v>72</v>
      </c>
      <c r="I4" s="12">
        <f>SUMIF($C$4:$C$19,G4,$D$4:$D$19)</f>
        <v>0</v>
      </c>
      <c r="J4" s="12">
        <f>H4-I4</f>
        <v>72</v>
      </c>
      <c r="K4" s="12"/>
      <c r="L4" s="12"/>
    </row>
    <row r="5" spans="1:12" x14ac:dyDescent="0.25">
      <c r="B5" s="15" t="s">
        <v>68</v>
      </c>
      <c r="C5" s="15" t="s">
        <v>70</v>
      </c>
      <c r="D5" s="12">
        <v>17</v>
      </c>
      <c r="E5" s="19" t="s">
        <v>62</v>
      </c>
      <c r="F5" s="15">
        <v>17</v>
      </c>
      <c r="G5" s="16" t="s">
        <v>69</v>
      </c>
      <c r="H5" s="12">
        <f t="shared" ref="H5:H12" si="0">SUMIF($B$4:$B$19,G5,$D$4:$D$19)</f>
        <v>20</v>
      </c>
      <c r="I5" s="12">
        <f t="shared" ref="I5:I12" si="1">SUMIF($C$4:$C$19,G5,$D$4:$D$19)</f>
        <v>20</v>
      </c>
      <c r="J5" s="12">
        <f t="shared" ref="J5:J12" si="2">H5-I5</f>
        <v>0</v>
      </c>
      <c r="K5" s="16" t="s">
        <v>19</v>
      </c>
      <c r="L5" s="16">
        <v>0</v>
      </c>
    </row>
    <row r="6" spans="1:12" x14ac:dyDescent="0.25">
      <c r="B6" s="15" t="s">
        <v>68</v>
      </c>
      <c r="C6" s="15" t="s">
        <v>72</v>
      </c>
      <c r="D6" s="12">
        <v>35</v>
      </c>
      <c r="E6" s="19" t="s">
        <v>62</v>
      </c>
      <c r="F6" s="15">
        <v>37</v>
      </c>
      <c r="G6" s="16" t="s">
        <v>70</v>
      </c>
      <c r="H6" s="12">
        <f t="shared" si="0"/>
        <v>17</v>
      </c>
      <c r="I6" s="12">
        <f t="shared" si="1"/>
        <v>17</v>
      </c>
      <c r="J6" s="12">
        <f t="shared" si="2"/>
        <v>0</v>
      </c>
      <c r="K6" s="16" t="s">
        <v>19</v>
      </c>
      <c r="L6" s="16">
        <v>0</v>
      </c>
    </row>
    <row r="7" spans="1:12" x14ac:dyDescent="0.25">
      <c r="B7" s="15" t="s">
        <v>69</v>
      </c>
      <c r="C7" s="15" t="s">
        <v>71</v>
      </c>
      <c r="D7" s="12">
        <v>20</v>
      </c>
      <c r="E7" s="19" t="s">
        <v>62</v>
      </c>
      <c r="F7" s="15">
        <v>20</v>
      </c>
      <c r="G7" s="16" t="s">
        <v>71</v>
      </c>
      <c r="H7" s="12">
        <f t="shared" si="0"/>
        <v>42</v>
      </c>
      <c r="I7" s="12">
        <f t="shared" si="1"/>
        <v>42</v>
      </c>
      <c r="J7" s="12">
        <f t="shared" si="2"/>
        <v>0</v>
      </c>
      <c r="K7" s="16" t="s">
        <v>19</v>
      </c>
      <c r="L7" s="16">
        <v>0</v>
      </c>
    </row>
    <row r="8" spans="1:12" x14ac:dyDescent="0.25">
      <c r="B8" s="15" t="s">
        <v>69</v>
      </c>
      <c r="C8" s="15" t="s">
        <v>72</v>
      </c>
      <c r="D8" s="12">
        <v>0</v>
      </c>
      <c r="E8" s="19" t="s">
        <v>62</v>
      </c>
      <c r="F8" s="15">
        <v>10</v>
      </c>
      <c r="G8" s="16" t="s">
        <v>72</v>
      </c>
      <c r="H8" s="12">
        <f t="shared" si="0"/>
        <v>37</v>
      </c>
      <c r="I8" s="12">
        <f t="shared" si="1"/>
        <v>37</v>
      </c>
      <c r="J8" s="12">
        <f t="shared" si="2"/>
        <v>0</v>
      </c>
      <c r="K8" s="16" t="s">
        <v>19</v>
      </c>
      <c r="L8" s="16">
        <v>0</v>
      </c>
    </row>
    <row r="9" spans="1:12" x14ac:dyDescent="0.25">
      <c r="B9" s="15" t="s">
        <v>70</v>
      </c>
      <c r="C9" s="15" t="s">
        <v>72</v>
      </c>
      <c r="D9" s="12">
        <v>2</v>
      </c>
      <c r="E9" s="19" t="s">
        <v>62</v>
      </c>
      <c r="F9" s="15">
        <v>20</v>
      </c>
      <c r="G9" s="16" t="s">
        <v>73</v>
      </c>
      <c r="H9" s="12">
        <f t="shared" si="0"/>
        <v>32</v>
      </c>
      <c r="I9" s="12">
        <f t="shared" si="1"/>
        <v>32</v>
      </c>
      <c r="J9" s="12">
        <f t="shared" si="2"/>
        <v>0</v>
      </c>
      <c r="K9" s="16" t="s">
        <v>19</v>
      </c>
      <c r="L9" s="16">
        <v>0</v>
      </c>
    </row>
    <row r="10" spans="1:12" x14ac:dyDescent="0.25">
      <c r="B10" s="15" t="s">
        <v>70</v>
      </c>
      <c r="C10" s="15" t="s">
        <v>73</v>
      </c>
      <c r="D10" s="12">
        <v>15</v>
      </c>
      <c r="E10" s="19" t="s">
        <v>62</v>
      </c>
      <c r="F10" s="15">
        <v>15</v>
      </c>
      <c r="G10" s="16" t="s">
        <v>74</v>
      </c>
      <c r="H10" s="12">
        <f t="shared" si="0"/>
        <v>42</v>
      </c>
      <c r="I10" s="12">
        <f t="shared" si="1"/>
        <v>42</v>
      </c>
      <c r="J10" s="12">
        <f t="shared" si="2"/>
        <v>0</v>
      </c>
      <c r="K10" s="16" t="s">
        <v>19</v>
      </c>
      <c r="L10" s="16">
        <v>0</v>
      </c>
    </row>
    <row r="11" spans="1:12" x14ac:dyDescent="0.25">
      <c r="B11" s="15" t="s">
        <v>71</v>
      </c>
      <c r="C11" s="15" t="s">
        <v>73</v>
      </c>
      <c r="D11" s="12">
        <v>2</v>
      </c>
      <c r="E11" s="19" t="s">
        <v>62</v>
      </c>
      <c r="F11" s="15">
        <v>10</v>
      </c>
      <c r="G11" s="16" t="s">
        <v>75</v>
      </c>
      <c r="H11" s="12">
        <f t="shared" si="0"/>
        <v>50</v>
      </c>
      <c r="I11" s="12">
        <f t="shared" si="1"/>
        <v>50</v>
      </c>
      <c r="J11" s="12">
        <f t="shared" si="2"/>
        <v>0</v>
      </c>
      <c r="K11" s="16" t="s">
        <v>19</v>
      </c>
      <c r="L11" s="16">
        <v>0</v>
      </c>
    </row>
    <row r="12" spans="1:12" x14ac:dyDescent="0.25">
      <c r="B12" s="15" t="s">
        <v>71</v>
      </c>
      <c r="C12" s="15" t="s">
        <v>74</v>
      </c>
      <c r="D12" s="12">
        <v>22</v>
      </c>
      <c r="E12" s="19" t="s">
        <v>62</v>
      </c>
      <c r="F12" s="15">
        <v>22</v>
      </c>
      <c r="G12" s="16" t="s">
        <v>53</v>
      </c>
      <c r="H12" s="12">
        <f t="shared" si="0"/>
        <v>0</v>
      </c>
      <c r="I12" s="12">
        <f t="shared" si="1"/>
        <v>72</v>
      </c>
      <c r="J12" s="12">
        <f t="shared" si="2"/>
        <v>-72</v>
      </c>
      <c r="K12" s="6"/>
      <c r="L12" s="6"/>
    </row>
    <row r="13" spans="1:12" x14ac:dyDescent="0.25">
      <c r="B13" s="15" t="s">
        <v>71</v>
      </c>
      <c r="C13" s="15" t="s">
        <v>75</v>
      </c>
      <c r="D13" s="12">
        <v>18</v>
      </c>
      <c r="E13" s="19" t="s">
        <v>62</v>
      </c>
      <c r="F13" s="15">
        <v>18</v>
      </c>
    </row>
    <row r="14" spans="1:12" x14ac:dyDescent="0.25">
      <c r="B14" s="15" t="s">
        <v>72</v>
      </c>
      <c r="C14" s="15" t="s">
        <v>71</v>
      </c>
      <c r="D14" s="12">
        <v>22</v>
      </c>
      <c r="E14" s="19" t="s">
        <v>62</v>
      </c>
      <c r="F14" s="15">
        <v>35</v>
      </c>
    </row>
    <row r="15" spans="1:12" x14ac:dyDescent="0.25">
      <c r="B15" s="15" t="s">
        <v>72</v>
      </c>
      <c r="C15" s="15" t="s">
        <v>73</v>
      </c>
      <c r="D15" s="12">
        <v>15</v>
      </c>
      <c r="E15" s="19" t="s">
        <v>62</v>
      </c>
      <c r="F15" s="15">
        <v>15</v>
      </c>
    </row>
    <row r="16" spans="1:12" x14ac:dyDescent="0.25">
      <c r="B16" s="15" t="s">
        <v>73</v>
      </c>
      <c r="C16" s="15" t="s">
        <v>75</v>
      </c>
      <c r="D16" s="21">
        <v>32</v>
      </c>
      <c r="E16" s="19" t="s">
        <v>62</v>
      </c>
      <c r="F16" s="15">
        <v>34</v>
      </c>
    </row>
    <row r="17" spans="2:6" x14ac:dyDescent="0.25">
      <c r="B17" s="15" t="s">
        <v>74</v>
      </c>
      <c r="C17" s="15" t="s">
        <v>53</v>
      </c>
      <c r="D17" s="21">
        <v>42</v>
      </c>
      <c r="E17" s="19" t="s">
        <v>62</v>
      </c>
      <c r="F17" s="15">
        <v>48</v>
      </c>
    </row>
    <row r="18" spans="2:6" x14ac:dyDescent="0.25">
      <c r="B18" s="15" t="s">
        <v>75</v>
      </c>
      <c r="C18" s="15" t="s">
        <v>74</v>
      </c>
      <c r="D18" s="21">
        <v>20</v>
      </c>
      <c r="E18" s="19" t="s">
        <v>62</v>
      </c>
      <c r="F18" s="15">
        <v>20</v>
      </c>
    </row>
    <row r="19" spans="2:6" x14ac:dyDescent="0.25">
      <c r="B19" s="15" t="s">
        <v>75</v>
      </c>
      <c r="C19" s="15" t="s">
        <v>53</v>
      </c>
      <c r="D19" s="21">
        <v>30</v>
      </c>
      <c r="E19" s="19" t="s">
        <v>62</v>
      </c>
      <c r="F19" s="15">
        <v>30</v>
      </c>
    </row>
    <row r="22" spans="2:6" x14ac:dyDescent="0.25">
      <c r="D22" s="44" t="s">
        <v>64</v>
      </c>
      <c r="E22" s="45"/>
      <c r="F22" s="10">
        <f>J4</f>
        <v>72</v>
      </c>
    </row>
  </sheetData>
  <mergeCells count="3">
    <mergeCell ref="A1:C1"/>
    <mergeCell ref="A2:B2"/>
    <mergeCell ref="D22:E2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>
      <selection sqref="A1:C1"/>
    </sheetView>
  </sheetViews>
  <sheetFormatPr defaultRowHeight="15" x14ac:dyDescent="0.25"/>
  <cols>
    <col min="2" max="2" width="11.140625" customWidth="1"/>
    <col min="3" max="3" width="11" customWidth="1"/>
    <col min="4" max="5" width="11.140625" customWidth="1"/>
    <col min="6" max="6" width="10.42578125" customWidth="1"/>
    <col min="7" max="7" width="15.28515625" customWidth="1"/>
    <col min="8" max="8" width="11" customWidth="1"/>
    <col min="9" max="9" width="11.7109375" customWidth="1"/>
    <col min="10" max="10" width="7.42578125" customWidth="1"/>
    <col min="11" max="11" width="8.42578125" customWidth="1"/>
  </cols>
  <sheetData>
    <row r="1" spans="1:11" x14ac:dyDescent="0.25">
      <c r="A1" s="39" t="s">
        <v>76</v>
      </c>
      <c r="B1" s="39"/>
      <c r="C1" s="39"/>
    </row>
    <row r="3" spans="1:11" x14ac:dyDescent="0.25">
      <c r="B3" s="13" t="s">
        <v>40</v>
      </c>
      <c r="C3" s="13" t="s">
        <v>41</v>
      </c>
      <c r="D3" s="13" t="s">
        <v>42</v>
      </c>
      <c r="E3" s="13" t="s">
        <v>43</v>
      </c>
      <c r="F3" s="14" t="s">
        <v>44</v>
      </c>
      <c r="G3" s="14" t="s">
        <v>45</v>
      </c>
      <c r="H3" s="14" t="s">
        <v>46</v>
      </c>
      <c r="I3" s="14" t="s">
        <v>54</v>
      </c>
      <c r="J3" s="14" t="s">
        <v>55</v>
      </c>
      <c r="K3" s="14" t="s">
        <v>56</v>
      </c>
    </row>
    <row r="4" spans="1:11" x14ac:dyDescent="0.25">
      <c r="B4" s="15" t="s">
        <v>47</v>
      </c>
      <c r="C4" s="15" t="s">
        <v>48</v>
      </c>
      <c r="D4" s="12">
        <v>0</v>
      </c>
      <c r="E4" s="15">
        <v>5</v>
      </c>
      <c r="F4" s="16" t="s">
        <v>47</v>
      </c>
      <c r="G4" s="12">
        <f>SUMIF($C$4:$C$15,F4,$D$4:$D$15)</f>
        <v>0</v>
      </c>
      <c r="H4" s="12">
        <f>SUMIF($B$4:$B$15,F4,$D$4:$D$15)</f>
        <v>1</v>
      </c>
      <c r="I4" s="12">
        <f>H4-G4</f>
        <v>1</v>
      </c>
      <c r="J4" s="16" t="s">
        <v>19</v>
      </c>
      <c r="K4" s="16">
        <v>1</v>
      </c>
    </row>
    <row r="5" spans="1:11" x14ac:dyDescent="0.25">
      <c r="B5" s="15" t="s">
        <v>47</v>
      </c>
      <c r="C5" s="15" t="s">
        <v>49</v>
      </c>
      <c r="D5" s="12">
        <v>0</v>
      </c>
      <c r="E5" s="15">
        <v>7</v>
      </c>
      <c r="F5" s="16" t="s">
        <v>48</v>
      </c>
      <c r="G5" s="12">
        <f t="shared" ref="G5:G10" si="0">SUMIF($C$4:$C$15,F5,$D$4:$D$15)</f>
        <v>0</v>
      </c>
      <c r="H5" s="12">
        <f t="shared" ref="H5:H10" si="1">SUMIF($B$4:$B$15,F5,$D$4:$D$15)</f>
        <v>0</v>
      </c>
      <c r="I5" s="12">
        <f t="shared" ref="I5:I10" si="2">H5-G5</f>
        <v>0</v>
      </c>
      <c r="J5" s="16" t="s">
        <v>19</v>
      </c>
      <c r="K5" s="16">
        <v>0</v>
      </c>
    </row>
    <row r="6" spans="1:11" x14ac:dyDescent="0.25">
      <c r="B6" s="15" t="s">
        <v>47</v>
      </c>
      <c r="C6" s="15" t="s">
        <v>50</v>
      </c>
      <c r="D6" s="12">
        <v>1</v>
      </c>
      <c r="E6" s="15">
        <v>4</v>
      </c>
      <c r="F6" s="16" t="s">
        <v>49</v>
      </c>
      <c r="G6" s="12">
        <f t="shared" si="0"/>
        <v>0</v>
      </c>
      <c r="H6" s="12">
        <f t="shared" si="1"/>
        <v>0</v>
      </c>
      <c r="I6" s="12">
        <f t="shared" si="2"/>
        <v>0</v>
      </c>
      <c r="J6" s="16" t="s">
        <v>19</v>
      </c>
      <c r="K6" s="16">
        <v>0</v>
      </c>
    </row>
    <row r="7" spans="1:11" x14ac:dyDescent="0.25">
      <c r="B7" s="15" t="s">
        <v>48</v>
      </c>
      <c r="C7" s="15" t="s">
        <v>49</v>
      </c>
      <c r="D7" s="12">
        <v>0</v>
      </c>
      <c r="E7" s="15">
        <v>1</v>
      </c>
      <c r="F7" s="16" t="s">
        <v>50</v>
      </c>
      <c r="G7" s="12">
        <f t="shared" si="0"/>
        <v>1</v>
      </c>
      <c r="H7" s="12">
        <f t="shared" si="1"/>
        <v>1</v>
      </c>
      <c r="I7" s="12">
        <f t="shared" si="2"/>
        <v>0</v>
      </c>
      <c r="J7" s="16" t="s">
        <v>19</v>
      </c>
      <c r="K7" s="16">
        <v>0</v>
      </c>
    </row>
    <row r="8" spans="1:11" x14ac:dyDescent="0.25">
      <c r="B8" s="15" t="s">
        <v>48</v>
      </c>
      <c r="C8" s="15" t="s">
        <v>51</v>
      </c>
      <c r="D8" s="12">
        <v>0</v>
      </c>
      <c r="E8" s="15">
        <v>3</v>
      </c>
      <c r="F8" s="16" t="s">
        <v>51</v>
      </c>
      <c r="G8" s="12">
        <f t="shared" si="0"/>
        <v>0</v>
      </c>
      <c r="H8" s="12">
        <f t="shared" si="1"/>
        <v>0</v>
      </c>
      <c r="I8" s="12">
        <f t="shared" si="2"/>
        <v>0</v>
      </c>
      <c r="J8" s="16" t="s">
        <v>19</v>
      </c>
      <c r="K8" s="16">
        <v>0</v>
      </c>
    </row>
    <row r="9" spans="1:11" x14ac:dyDescent="0.25">
      <c r="B9" s="15" t="s">
        <v>49</v>
      </c>
      <c r="C9" s="15" t="s">
        <v>50</v>
      </c>
      <c r="D9" s="12">
        <v>0</v>
      </c>
      <c r="E9" s="15">
        <v>2</v>
      </c>
      <c r="F9" s="16" t="s">
        <v>52</v>
      </c>
      <c r="G9" s="12">
        <f t="shared" si="0"/>
        <v>1</v>
      </c>
      <c r="H9" s="12">
        <f>SUMIF($B$4:$B$15,F9,$D$4:$D$15)</f>
        <v>1</v>
      </c>
      <c r="I9" s="12">
        <f t="shared" si="2"/>
        <v>0</v>
      </c>
      <c r="J9" s="16" t="s">
        <v>19</v>
      </c>
      <c r="K9" s="16">
        <v>0</v>
      </c>
    </row>
    <row r="10" spans="1:11" x14ac:dyDescent="0.25">
      <c r="B10" s="15" t="s">
        <v>49</v>
      </c>
      <c r="C10" s="15" t="s">
        <v>51</v>
      </c>
      <c r="D10" s="12">
        <v>0</v>
      </c>
      <c r="E10" s="15">
        <v>4</v>
      </c>
      <c r="F10" s="16" t="s">
        <v>53</v>
      </c>
      <c r="G10" s="12">
        <f t="shared" si="0"/>
        <v>1</v>
      </c>
      <c r="H10" s="12">
        <f t="shared" si="1"/>
        <v>0</v>
      </c>
      <c r="I10" s="12">
        <f t="shared" si="2"/>
        <v>-1</v>
      </c>
      <c r="J10" s="16" t="s">
        <v>19</v>
      </c>
      <c r="K10" s="16">
        <v>-1</v>
      </c>
    </row>
    <row r="11" spans="1:11" x14ac:dyDescent="0.25">
      <c r="B11" s="15" t="s">
        <v>49</v>
      </c>
      <c r="C11" s="15" t="s">
        <v>52</v>
      </c>
      <c r="D11" s="12">
        <v>0</v>
      </c>
      <c r="E11" s="15">
        <v>5</v>
      </c>
    </row>
    <row r="12" spans="1:11" x14ac:dyDescent="0.25">
      <c r="B12" s="15" t="s">
        <v>50</v>
      </c>
      <c r="C12" s="15" t="s">
        <v>52</v>
      </c>
      <c r="D12" s="12">
        <v>1</v>
      </c>
      <c r="E12" s="15">
        <v>4</v>
      </c>
    </row>
    <row r="13" spans="1:11" x14ac:dyDescent="0.25">
      <c r="B13" s="15" t="s">
        <v>51</v>
      </c>
      <c r="C13" s="15" t="s">
        <v>53</v>
      </c>
      <c r="D13" s="12">
        <v>0</v>
      </c>
      <c r="E13" s="15">
        <v>9</v>
      </c>
    </row>
    <row r="14" spans="1:11" x14ac:dyDescent="0.25">
      <c r="B14" s="15" t="s">
        <v>52</v>
      </c>
      <c r="C14" s="15" t="s">
        <v>51</v>
      </c>
      <c r="D14" s="12">
        <v>0</v>
      </c>
      <c r="E14" s="15">
        <v>1</v>
      </c>
      <c r="G14" s="17" t="s">
        <v>57</v>
      </c>
      <c r="H14" s="18" t="s">
        <v>58</v>
      </c>
    </row>
    <row r="15" spans="1:11" x14ac:dyDescent="0.25">
      <c r="B15" s="15" t="s">
        <v>52</v>
      </c>
      <c r="C15" s="15" t="s">
        <v>53</v>
      </c>
      <c r="D15" s="12">
        <v>1</v>
      </c>
      <c r="E15" s="15">
        <v>6</v>
      </c>
    </row>
    <row r="16" spans="1:11" x14ac:dyDescent="0.25">
      <c r="D16" s="8" t="s">
        <v>20</v>
      </c>
      <c r="E16" s="10">
        <f>SUMPRODUCT(D4:D15,E4:E15)</f>
        <v>14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>
      <selection activeCell="L12" sqref="L12"/>
    </sheetView>
  </sheetViews>
  <sheetFormatPr defaultRowHeight="15" x14ac:dyDescent="0.25"/>
  <cols>
    <col min="4" max="4" width="17.5703125" customWidth="1"/>
    <col min="5" max="5" width="13" customWidth="1"/>
    <col min="6" max="6" width="15.7109375" customWidth="1"/>
    <col min="8" max="8" width="10.85546875" customWidth="1"/>
  </cols>
  <sheetData>
    <row r="1" spans="1:8" x14ac:dyDescent="0.25">
      <c r="A1" s="36" t="s">
        <v>77</v>
      </c>
      <c r="B1" s="36"/>
      <c r="C1" s="36"/>
      <c r="D1" s="36"/>
    </row>
    <row r="3" spans="1:8" x14ac:dyDescent="0.25">
      <c r="B3" s="23" t="s">
        <v>78</v>
      </c>
      <c r="C3" s="23" t="s">
        <v>79</v>
      </c>
      <c r="D3" s="23" t="s">
        <v>80</v>
      </c>
      <c r="E3" s="23" t="s">
        <v>81</v>
      </c>
      <c r="F3" s="23" t="s">
        <v>82</v>
      </c>
      <c r="G3" s="23" t="s">
        <v>83</v>
      </c>
      <c r="H3" s="23" t="s">
        <v>84</v>
      </c>
    </row>
    <row r="4" spans="1:8" x14ac:dyDescent="0.25">
      <c r="B4" s="15" t="s">
        <v>90</v>
      </c>
      <c r="C4" s="15">
        <v>1</v>
      </c>
      <c r="D4" s="12" t="s">
        <v>97</v>
      </c>
      <c r="E4" s="22" t="s">
        <v>98</v>
      </c>
      <c r="F4" s="12">
        <v>1</v>
      </c>
      <c r="G4" s="12" t="s">
        <v>47</v>
      </c>
      <c r="H4" s="12">
        <v>1</v>
      </c>
    </row>
    <row r="5" spans="1:8" x14ac:dyDescent="0.25">
      <c r="B5" s="15" t="s">
        <v>95</v>
      </c>
      <c r="C5" s="15">
        <v>1</v>
      </c>
      <c r="D5" s="12" t="s">
        <v>97</v>
      </c>
      <c r="E5" s="22" t="s">
        <v>98</v>
      </c>
      <c r="F5" s="12">
        <v>1</v>
      </c>
      <c r="G5" s="12" t="s">
        <v>48</v>
      </c>
      <c r="H5" s="12">
        <v>1</v>
      </c>
    </row>
    <row r="6" spans="1:8" x14ac:dyDescent="0.25">
      <c r="B6" s="15" t="s">
        <v>85</v>
      </c>
      <c r="C6" s="15">
        <v>2</v>
      </c>
      <c r="D6" s="12" t="s">
        <v>97</v>
      </c>
      <c r="E6" s="22" t="s">
        <v>98</v>
      </c>
      <c r="F6" s="12">
        <v>2</v>
      </c>
      <c r="G6" s="12" t="s">
        <v>49</v>
      </c>
      <c r="H6" s="12">
        <v>1</v>
      </c>
    </row>
    <row r="7" spans="1:8" x14ac:dyDescent="0.25">
      <c r="B7" s="15" t="s">
        <v>88</v>
      </c>
      <c r="C7" s="15">
        <v>2</v>
      </c>
      <c r="D7" s="12" t="s">
        <v>97</v>
      </c>
      <c r="E7" s="22" t="s">
        <v>98</v>
      </c>
      <c r="F7" s="12">
        <v>2</v>
      </c>
      <c r="G7" s="12" t="s">
        <v>50</v>
      </c>
      <c r="H7" s="12">
        <v>1</v>
      </c>
    </row>
    <row r="8" spans="1:8" x14ac:dyDescent="0.25">
      <c r="B8" s="15" t="s">
        <v>92</v>
      </c>
      <c r="C8" s="15">
        <v>3</v>
      </c>
      <c r="D8" s="12" t="s">
        <v>97</v>
      </c>
      <c r="E8" s="22" t="s">
        <v>98</v>
      </c>
      <c r="F8" s="12">
        <v>3</v>
      </c>
      <c r="G8" s="12" t="s">
        <v>51</v>
      </c>
      <c r="H8" s="12">
        <v>1</v>
      </c>
    </row>
    <row r="9" spans="1:8" x14ac:dyDescent="0.25">
      <c r="B9" s="15" t="s">
        <v>87</v>
      </c>
      <c r="C9" s="15">
        <v>4</v>
      </c>
      <c r="D9" s="12" t="s">
        <v>99</v>
      </c>
      <c r="E9" s="12" t="s">
        <v>100</v>
      </c>
      <c r="F9" s="12">
        <v>0</v>
      </c>
      <c r="G9" s="12" t="s">
        <v>52</v>
      </c>
      <c r="H9" s="12">
        <v>1</v>
      </c>
    </row>
    <row r="10" spans="1:8" x14ac:dyDescent="0.25">
      <c r="B10" s="15" t="s">
        <v>91</v>
      </c>
      <c r="C10" s="15">
        <v>4</v>
      </c>
      <c r="D10" s="12" t="s">
        <v>99</v>
      </c>
      <c r="E10" s="12" t="s">
        <v>101</v>
      </c>
      <c r="F10" s="12">
        <v>0</v>
      </c>
      <c r="G10" s="12" t="s">
        <v>53</v>
      </c>
      <c r="H10" s="12">
        <v>1</v>
      </c>
    </row>
    <row r="11" spans="1:8" x14ac:dyDescent="0.25">
      <c r="B11" s="15" t="s">
        <v>94</v>
      </c>
      <c r="C11" s="15">
        <v>4</v>
      </c>
      <c r="D11" s="12" t="s">
        <v>99</v>
      </c>
      <c r="E11" s="12" t="s">
        <v>102</v>
      </c>
      <c r="F11" s="12">
        <v>0</v>
      </c>
      <c r="G11" s="12"/>
      <c r="H11" s="12"/>
    </row>
    <row r="12" spans="1:8" x14ac:dyDescent="0.25">
      <c r="B12" s="15" t="s">
        <v>86</v>
      </c>
      <c r="C12" s="15">
        <v>5</v>
      </c>
      <c r="D12" s="12" t="s">
        <v>99</v>
      </c>
      <c r="E12" s="12" t="s">
        <v>103</v>
      </c>
      <c r="F12" s="12">
        <v>0</v>
      </c>
      <c r="G12" s="12"/>
      <c r="H12" s="12"/>
    </row>
    <row r="13" spans="1:8" x14ac:dyDescent="0.25">
      <c r="B13" s="15" t="s">
        <v>93</v>
      </c>
      <c r="C13" s="15">
        <v>5</v>
      </c>
      <c r="D13" s="12" t="s">
        <v>104</v>
      </c>
      <c r="E13" s="22" t="s">
        <v>98</v>
      </c>
      <c r="F13" s="12">
        <v>5</v>
      </c>
      <c r="G13" s="12"/>
      <c r="H13" s="12"/>
    </row>
    <row r="14" spans="1:8" x14ac:dyDescent="0.25">
      <c r="B14" s="15" t="s">
        <v>89</v>
      </c>
      <c r="C14" s="15">
        <v>7</v>
      </c>
      <c r="D14" s="12"/>
      <c r="E14" s="12"/>
      <c r="F14" s="12"/>
      <c r="G14" s="12"/>
      <c r="H14" s="12"/>
    </row>
    <row r="15" spans="1:8" x14ac:dyDescent="0.25">
      <c r="B15" s="15" t="s">
        <v>96</v>
      </c>
      <c r="C15" s="15">
        <v>7</v>
      </c>
      <c r="D15" s="12"/>
      <c r="E15" s="12"/>
      <c r="F15" s="12"/>
      <c r="G15" s="12"/>
      <c r="H15" s="12"/>
    </row>
    <row r="17" spans="4:5" x14ac:dyDescent="0.25">
      <c r="D17" s="8" t="s">
        <v>105</v>
      </c>
      <c r="E17" s="10">
        <f>SUM(F4:F13)</f>
        <v>14</v>
      </c>
    </row>
  </sheetData>
  <sortState xmlns:xlrd2="http://schemas.microsoft.com/office/spreadsheetml/2017/richdata2" ref="B4:C15">
    <sortCondition ref="C4:C15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workbookViewId="0">
      <selection activeCell="X18" sqref="X18"/>
    </sheetView>
  </sheetViews>
  <sheetFormatPr defaultRowHeight="15" x14ac:dyDescent="0.25"/>
  <cols>
    <col min="1" max="1" width="11.85546875" customWidth="1"/>
    <col min="2" max="2" width="11.5703125" customWidth="1"/>
    <col min="3" max="4" width="11.140625" customWidth="1"/>
    <col min="5" max="5" width="15" customWidth="1"/>
    <col min="6" max="6" width="11.42578125" customWidth="1"/>
    <col min="7" max="7" width="17.28515625" customWidth="1"/>
    <col min="8" max="8" width="20.28515625" customWidth="1"/>
    <col min="9" max="9" width="11.28515625" customWidth="1"/>
  </cols>
  <sheetData>
    <row r="1" spans="1:10" x14ac:dyDescent="0.25">
      <c r="A1" s="39" t="s">
        <v>106</v>
      </c>
      <c r="B1" s="39"/>
      <c r="C1" s="39"/>
    </row>
    <row r="3" spans="1:10" x14ac:dyDescent="0.25">
      <c r="B3" s="30" t="s">
        <v>40</v>
      </c>
      <c r="C3" s="30" t="s">
        <v>41</v>
      </c>
      <c r="D3" s="30" t="s">
        <v>107</v>
      </c>
      <c r="E3" s="30" t="s">
        <v>108</v>
      </c>
      <c r="F3" s="30" t="s">
        <v>109</v>
      </c>
      <c r="G3" s="31" t="s">
        <v>83</v>
      </c>
      <c r="H3" s="31" t="s">
        <v>110</v>
      </c>
      <c r="I3" s="32" t="s">
        <v>54</v>
      </c>
      <c r="J3" s="26"/>
    </row>
    <row r="4" spans="1:10" x14ac:dyDescent="0.25">
      <c r="B4" s="28" t="s">
        <v>48</v>
      </c>
      <c r="C4" s="15" t="s">
        <v>49</v>
      </c>
      <c r="D4" s="12">
        <v>0</v>
      </c>
      <c r="E4" s="15">
        <v>10</v>
      </c>
      <c r="F4" s="15">
        <v>2</v>
      </c>
      <c r="G4" s="33" t="s">
        <v>48</v>
      </c>
      <c r="H4" s="12">
        <f>SUMIF($B$4:$B$10,G4,$D$4:$D$10)-SUMIF($C$4:$C$10,G4,$D$4:$D$10)</f>
        <v>50</v>
      </c>
      <c r="I4" s="35">
        <v>50</v>
      </c>
      <c r="J4" s="27"/>
    </row>
    <row r="5" spans="1:10" x14ac:dyDescent="0.25">
      <c r="B5" s="28" t="s">
        <v>48</v>
      </c>
      <c r="C5" s="15" t="s">
        <v>50</v>
      </c>
      <c r="D5" s="12">
        <v>40</v>
      </c>
      <c r="E5" s="15"/>
      <c r="F5" s="15">
        <v>4</v>
      </c>
      <c r="G5" s="33" t="s">
        <v>49</v>
      </c>
      <c r="H5" s="12">
        <f t="shared" ref="H5:H8" si="0">SUMIF($B$4:$B$10,G5,$D$4:$D$10)-SUMIF($C$4:$C$10,G5,$D$4:$D$10)</f>
        <v>40</v>
      </c>
      <c r="I5" s="35">
        <v>40</v>
      </c>
      <c r="J5" s="27"/>
    </row>
    <row r="6" spans="1:10" x14ac:dyDescent="0.25">
      <c r="B6" s="28" t="s">
        <v>48</v>
      </c>
      <c r="C6" s="15" t="s">
        <v>51</v>
      </c>
      <c r="D6" s="12">
        <v>10</v>
      </c>
      <c r="E6" s="15"/>
      <c r="F6" s="15">
        <v>9</v>
      </c>
      <c r="G6" s="33" t="s">
        <v>50</v>
      </c>
      <c r="H6" s="12">
        <f t="shared" si="0"/>
        <v>0</v>
      </c>
      <c r="I6" s="35">
        <v>0</v>
      </c>
      <c r="J6" s="27"/>
    </row>
    <row r="7" spans="1:10" x14ac:dyDescent="0.25">
      <c r="B7" s="28" t="s">
        <v>49</v>
      </c>
      <c r="C7" s="15" t="s">
        <v>50</v>
      </c>
      <c r="D7" s="12">
        <v>40</v>
      </c>
      <c r="E7" s="15"/>
      <c r="F7" s="15">
        <v>3</v>
      </c>
      <c r="G7" s="33" t="s">
        <v>51</v>
      </c>
      <c r="H7" s="12">
        <f t="shared" si="0"/>
        <v>-30</v>
      </c>
      <c r="I7" s="35">
        <v>-30</v>
      </c>
      <c r="J7" s="27"/>
    </row>
    <row r="8" spans="1:10" x14ac:dyDescent="0.25">
      <c r="B8" s="28" t="s">
        <v>50</v>
      </c>
      <c r="C8" s="15" t="s">
        <v>52</v>
      </c>
      <c r="D8" s="12">
        <v>80</v>
      </c>
      <c r="E8" s="15">
        <v>80</v>
      </c>
      <c r="F8" s="15">
        <v>1</v>
      </c>
      <c r="G8" s="34" t="s">
        <v>52</v>
      </c>
      <c r="H8" s="12">
        <f t="shared" si="0"/>
        <v>-60</v>
      </c>
      <c r="I8" s="33">
        <v>-60</v>
      </c>
      <c r="J8" s="27"/>
    </row>
    <row r="9" spans="1:10" x14ac:dyDescent="0.25">
      <c r="B9" s="29" t="s">
        <v>51</v>
      </c>
      <c r="C9" s="24" t="s">
        <v>52</v>
      </c>
      <c r="D9" s="25">
        <v>0</v>
      </c>
      <c r="E9" s="24"/>
      <c r="F9" s="15">
        <v>3</v>
      </c>
      <c r="G9" s="1"/>
      <c r="H9" s="1"/>
      <c r="I9" s="1"/>
      <c r="J9" s="1"/>
    </row>
    <row r="10" spans="1:10" x14ac:dyDescent="0.25">
      <c r="B10" s="28" t="s">
        <v>52</v>
      </c>
      <c r="C10" s="15" t="s">
        <v>51</v>
      </c>
      <c r="D10" s="12">
        <v>20</v>
      </c>
      <c r="E10" s="15"/>
      <c r="F10" s="15">
        <v>2</v>
      </c>
      <c r="G10" s="1"/>
      <c r="H10" s="1"/>
      <c r="I10" s="1"/>
      <c r="J10" s="1"/>
    </row>
    <row r="11" spans="1:10" x14ac:dyDescent="0.25">
      <c r="B11" s="1"/>
      <c r="C11" s="1"/>
      <c r="D11" s="1"/>
      <c r="E11" s="1"/>
    </row>
    <row r="12" spans="1:10" x14ac:dyDescent="0.25">
      <c r="B12" s="1"/>
      <c r="C12" s="1"/>
      <c r="D12" s="8" t="s">
        <v>20</v>
      </c>
      <c r="E12" s="10">
        <f>SUMPRODUCT(D4:D10,F4:F10)</f>
        <v>490</v>
      </c>
    </row>
    <row r="13" spans="1:10" x14ac:dyDescent="0.25">
      <c r="B13" s="1"/>
      <c r="C13" s="1"/>
      <c r="D13" s="1"/>
      <c r="E13" s="1"/>
    </row>
    <row r="14" spans="1:10" x14ac:dyDescent="0.25">
      <c r="B14" s="1"/>
      <c r="C14" s="1"/>
      <c r="D14" s="1"/>
      <c r="E14" s="1"/>
    </row>
    <row r="15" spans="1:10" x14ac:dyDescent="0.25">
      <c r="B15" s="1"/>
      <c r="C15" s="1"/>
      <c r="D15" s="1"/>
      <c r="E15" s="1"/>
    </row>
  </sheetData>
  <mergeCells count="1">
    <mergeCell ref="A1:C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A4E9-83CD-4C85-9492-57A83311BD10}">
  <dimension ref="B4:L26"/>
  <sheetViews>
    <sheetView tabSelected="1" topLeftCell="B4" zoomScale="85" zoomScaleNormal="85" workbookViewId="0">
      <selection activeCell="L6" sqref="L6"/>
    </sheetView>
  </sheetViews>
  <sheetFormatPr defaultRowHeight="15" x14ac:dyDescent="0.25"/>
  <cols>
    <col min="8" max="8" width="27" bestFit="1" customWidth="1"/>
    <col min="9" max="9" width="25.5703125" bestFit="1" customWidth="1"/>
    <col min="10" max="10" width="14.42578125" customWidth="1"/>
    <col min="11" max="11" width="16.42578125" bestFit="1" customWidth="1"/>
    <col min="12" max="12" width="12.140625" bestFit="1" customWidth="1"/>
  </cols>
  <sheetData>
    <row r="4" spans="2:12" x14ac:dyDescent="0.25">
      <c r="C4" s="47" t="s">
        <v>116</v>
      </c>
      <c r="D4" s="46" t="s">
        <v>111</v>
      </c>
      <c r="E4" s="46"/>
      <c r="F4" s="46" t="s">
        <v>112</v>
      </c>
      <c r="G4" s="46"/>
      <c r="H4" s="47" t="s">
        <v>115</v>
      </c>
      <c r="I4" s="47" t="s">
        <v>117</v>
      </c>
      <c r="J4" s="47" t="s">
        <v>127</v>
      </c>
      <c r="K4" s="47" t="s">
        <v>128</v>
      </c>
      <c r="L4" s="47" t="s">
        <v>129</v>
      </c>
    </row>
    <row r="5" spans="2:12" x14ac:dyDescent="0.25">
      <c r="B5" s="48"/>
      <c r="C5" s="47"/>
      <c r="D5" t="s">
        <v>113</v>
      </c>
      <c r="E5" t="s">
        <v>114</v>
      </c>
      <c r="F5" t="s">
        <v>113</v>
      </c>
      <c r="G5" t="s">
        <v>114</v>
      </c>
      <c r="H5" s="47"/>
      <c r="I5" s="47"/>
      <c r="J5" s="47"/>
      <c r="K5" s="47"/>
      <c r="L5" s="47"/>
    </row>
    <row r="6" spans="2:12" x14ac:dyDescent="0.25">
      <c r="C6" t="s">
        <v>48</v>
      </c>
      <c r="D6">
        <v>2</v>
      </c>
      <c r="E6">
        <v>1</v>
      </c>
      <c r="F6">
        <v>180000</v>
      </c>
      <c r="G6">
        <v>280000</v>
      </c>
      <c r="H6">
        <f>D6-E6</f>
        <v>1</v>
      </c>
      <c r="I6">
        <f>(G6-F6)/H6</f>
        <v>100000</v>
      </c>
      <c r="J6">
        <v>0</v>
      </c>
      <c r="K6">
        <v>0</v>
      </c>
      <c r="L6">
        <f>J6+D6-K6</f>
        <v>2</v>
      </c>
    </row>
    <row r="7" spans="2:12" x14ac:dyDescent="0.25">
      <c r="C7" t="s">
        <v>49</v>
      </c>
      <c r="D7">
        <v>4</v>
      </c>
      <c r="E7">
        <v>2</v>
      </c>
      <c r="F7">
        <v>320000</v>
      </c>
      <c r="G7">
        <v>420000</v>
      </c>
      <c r="H7">
        <f t="shared" ref="H7:H19" si="0">D7-E7</f>
        <v>2</v>
      </c>
      <c r="I7">
        <f t="shared" ref="I7:I19" si="1">(G7-F7)/H7</f>
        <v>50000</v>
      </c>
      <c r="J7">
        <v>2</v>
      </c>
      <c r="K7">
        <v>0</v>
      </c>
      <c r="L7">
        <f t="shared" ref="L7:L19" si="2">J7+D7-K7</f>
        <v>6</v>
      </c>
    </row>
    <row r="8" spans="2:12" x14ac:dyDescent="0.25">
      <c r="C8" t="s">
        <v>50</v>
      </c>
      <c r="D8">
        <v>10</v>
      </c>
      <c r="E8">
        <v>7</v>
      </c>
      <c r="F8">
        <v>620000</v>
      </c>
      <c r="G8">
        <v>860000</v>
      </c>
      <c r="H8">
        <f t="shared" si="0"/>
        <v>3</v>
      </c>
      <c r="I8">
        <f t="shared" si="1"/>
        <v>80000</v>
      </c>
      <c r="J8">
        <v>6</v>
      </c>
      <c r="K8">
        <v>0</v>
      </c>
      <c r="L8">
        <f t="shared" si="2"/>
        <v>16</v>
      </c>
    </row>
    <row r="9" spans="2:12" x14ac:dyDescent="0.25">
      <c r="C9" t="s">
        <v>51</v>
      </c>
      <c r="D9">
        <v>6</v>
      </c>
      <c r="E9">
        <v>4</v>
      </c>
      <c r="F9">
        <v>260000</v>
      </c>
      <c r="G9">
        <v>340000</v>
      </c>
      <c r="H9">
        <f t="shared" si="0"/>
        <v>2</v>
      </c>
      <c r="I9">
        <f t="shared" si="1"/>
        <v>40000</v>
      </c>
      <c r="J9">
        <v>16</v>
      </c>
      <c r="K9">
        <v>0</v>
      </c>
      <c r="L9">
        <f t="shared" si="2"/>
        <v>22</v>
      </c>
    </row>
    <row r="10" spans="2:12" x14ac:dyDescent="0.25">
      <c r="C10" t="s">
        <v>52</v>
      </c>
      <c r="D10">
        <v>4</v>
      </c>
      <c r="E10">
        <v>3</v>
      </c>
      <c r="F10">
        <v>410000</v>
      </c>
      <c r="G10">
        <v>570000</v>
      </c>
      <c r="H10">
        <f t="shared" si="0"/>
        <v>1</v>
      </c>
      <c r="I10">
        <f t="shared" si="1"/>
        <v>160000</v>
      </c>
      <c r="J10">
        <v>16</v>
      </c>
      <c r="K10">
        <v>0</v>
      </c>
      <c r="L10">
        <f t="shared" si="2"/>
        <v>20</v>
      </c>
    </row>
    <row r="11" spans="2:12" x14ac:dyDescent="0.25">
      <c r="C11" t="s">
        <v>118</v>
      </c>
      <c r="D11">
        <v>5</v>
      </c>
      <c r="E11">
        <v>3</v>
      </c>
      <c r="F11">
        <v>180000</v>
      </c>
      <c r="G11">
        <v>260000</v>
      </c>
      <c r="H11">
        <f t="shared" si="0"/>
        <v>2</v>
      </c>
      <c r="I11">
        <f t="shared" si="1"/>
        <v>40000</v>
      </c>
      <c r="J11">
        <v>20</v>
      </c>
      <c r="K11">
        <v>2</v>
      </c>
      <c r="L11">
        <f t="shared" si="2"/>
        <v>23</v>
      </c>
    </row>
    <row r="12" spans="2:12" x14ac:dyDescent="0.25">
      <c r="C12" t="s">
        <v>119</v>
      </c>
      <c r="D12">
        <v>7</v>
      </c>
      <c r="E12">
        <v>4</v>
      </c>
      <c r="F12">
        <v>900000</v>
      </c>
      <c r="G12">
        <v>1020000</v>
      </c>
      <c r="H12">
        <f t="shared" si="0"/>
        <v>3</v>
      </c>
      <c r="I12">
        <f t="shared" si="1"/>
        <v>40000</v>
      </c>
      <c r="J12">
        <v>22</v>
      </c>
      <c r="K12">
        <v>0</v>
      </c>
      <c r="L12">
        <f t="shared" si="2"/>
        <v>29</v>
      </c>
    </row>
    <row r="13" spans="2:12" x14ac:dyDescent="0.25">
      <c r="C13" t="s">
        <v>120</v>
      </c>
      <c r="D13">
        <v>9</v>
      </c>
      <c r="E13">
        <v>6</v>
      </c>
      <c r="F13">
        <v>200000</v>
      </c>
      <c r="G13">
        <v>380000</v>
      </c>
      <c r="H13">
        <f t="shared" si="0"/>
        <v>3</v>
      </c>
      <c r="I13">
        <f t="shared" si="1"/>
        <v>60000</v>
      </c>
      <c r="J13">
        <v>29</v>
      </c>
      <c r="K13">
        <v>0</v>
      </c>
      <c r="L13">
        <f t="shared" si="2"/>
        <v>38</v>
      </c>
    </row>
    <row r="14" spans="2:12" x14ac:dyDescent="0.25">
      <c r="C14" t="s">
        <v>121</v>
      </c>
      <c r="D14">
        <v>7</v>
      </c>
      <c r="E14">
        <v>5</v>
      </c>
      <c r="F14">
        <v>210000</v>
      </c>
      <c r="G14">
        <v>270000</v>
      </c>
      <c r="H14">
        <f t="shared" si="0"/>
        <v>2</v>
      </c>
      <c r="I14">
        <f t="shared" si="1"/>
        <v>30000</v>
      </c>
      <c r="J14">
        <v>16</v>
      </c>
      <c r="K14">
        <v>0</v>
      </c>
      <c r="L14">
        <f t="shared" si="2"/>
        <v>23</v>
      </c>
    </row>
    <row r="15" spans="2:12" x14ac:dyDescent="0.25">
      <c r="C15" t="s">
        <v>122</v>
      </c>
      <c r="D15">
        <v>8</v>
      </c>
      <c r="E15">
        <v>6</v>
      </c>
      <c r="F15">
        <v>430000</v>
      </c>
      <c r="G15">
        <v>490000</v>
      </c>
      <c r="H15">
        <f t="shared" si="0"/>
        <v>2</v>
      </c>
      <c r="I15">
        <f t="shared" si="1"/>
        <v>30000</v>
      </c>
      <c r="J15">
        <v>23</v>
      </c>
      <c r="K15">
        <v>2</v>
      </c>
      <c r="L15">
        <f t="shared" si="2"/>
        <v>29</v>
      </c>
    </row>
    <row r="16" spans="2:12" x14ac:dyDescent="0.25">
      <c r="C16" t="s">
        <v>123</v>
      </c>
      <c r="D16">
        <v>4</v>
      </c>
      <c r="E16">
        <v>3</v>
      </c>
      <c r="F16">
        <v>160000</v>
      </c>
      <c r="G16">
        <v>200000</v>
      </c>
      <c r="H16">
        <f t="shared" si="0"/>
        <v>1</v>
      </c>
      <c r="I16">
        <f t="shared" si="1"/>
        <v>40000</v>
      </c>
      <c r="J16">
        <v>29</v>
      </c>
      <c r="K16">
        <v>0</v>
      </c>
      <c r="L16">
        <f t="shared" si="2"/>
        <v>33</v>
      </c>
    </row>
    <row r="17" spans="3:12" x14ac:dyDescent="0.25">
      <c r="C17" t="s">
        <v>124</v>
      </c>
      <c r="D17">
        <v>5</v>
      </c>
      <c r="E17">
        <v>3</v>
      </c>
      <c r="F17">
        <v>250000</v>
      </c>
      <c r="G17">
        <v>350000</v>
      </c>
      <c r="H17">
        <f t="shared" si="0"/>
        <v>2</v>
      </c>
      <c r="I17">
        <f t="shared" si="1"/>
        <v>50000</v>
      </c>
      <c r="J17">
        <v>29</v>
      </c>
      <c r="K17">
        <v>0</v>
      </c>
      <c r="L17">
        <f t="shared" si="2"/>
        <v>34</v>
      </c>
    </row>
    <row r="18" spans="3:12" x14ac:dyDescent="0.25">
      <c r="C18" t="s">
        <v>125</v>
      </c>
      <c r="D18">
        <v>2</v>
      </c>
      <c r="E18">
        <v>1</v>
      </c>
      <c r="F18">
        <v>100000</v>
      </c>
      <c r="G18">
        <v>200000</v>
      </c>
      <c r="H18">
        <f t="shared" si="0"/>
        <v>1</v>
      </c>
      <c r="I18">
        <f t="shared" si="1"/>
        <v>100000</v>
      </c>
      <c r="J18">
        <v>38</v>
      </c>
      <c r="K18">
        <v>0</v>
      </c>
      <c r="L18">
        <f t="shared" si="2"/>
        <v>40</v>
      </c>
    </row>
    <row r="19" spans="3:12" x14ac:dyDescent="0.25">
      <c r="C19" t="s">
        <v>126</v>
      </c>
      <c r="D19">
        <v>6</v>
      </c>
      <c r="E19">
        <v>3</v>
      </c>
      <c r="F19">
        <v>330000</v>
      </c>
      <c r="G19">
        <v>510000</v>
      </c>
      <c r="H19">
        <f t="shared" si="0"/>
        <v>3</v>
      </c>
      <c r="I19">
        <f t="shared" si="1"/>
        <v>60000</v>
      </c>
      <c r="J19">
        <v>34</v>
      </c>
      <c r="K19">
        <v>0</v>
      </c>
      <c r="L19">
        <f t="shared" si="2"/>
        <v>40</v>
      </c>
    </row>
    <row r="22" spans="3:12" x14ac:dyDescent="0.25">
      <c r="K22" t="s">
        <v>130</v>
      </c>
    </row>
    <row r="23" spans="3:12" x14ac:dyDescent="0.25">
      <c r="H23" t="s">
        <v>131</v>
      </c>
      <c r="I23">
        <v>40</v>
      </c>
      <c r="J23" t="s">
        <v>62</v>
      </c>
      <c r="K23">
        <v>40</v>
      </c>
    </row>
    <row r="26" spans="3:12" x14ac:dyDescent="0.25">
      <c r="H26" t="s">
        <v>132</v>
      </c>
      <c r="I26">
        <f>SUM(F6:F19)+SUMPRODUCT(I6:I19,K6:K19)</f>
        <v>4690000</v>
      </c>
    </row>
  </sheetData>
  <mergeCells count="8">
    <mergeCell ref="J4:J5"/>
    <mergeCell ref="K4:K5"/>
    <mergeCell ref="L4:L5"/>
    <mergeCell ref="D4:E4"/>
    <mergeCell ref="F4:G4"/>
    <mergeCell ref="H4:H5"/>
    <mergeCell ref="C4:C5"/>
    <mergeCell ref="I4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Transport 1</vt:lpstr>
      <vt:lpstr>Transport 2</vt:lpstr>
      <vt:lpstr>Assignment.</vt:lpstr>
      <vt:lpstr>Maximum Flow</vt:lpstr>
      <vt:lpstr>Maximum Flow (2)</vt:lpstr>
      <vt:lpstr>Maximum Flow (3)</vt:lpstr>
      <vt:lpstr>Shortest Path</vt:lpstr>
      <vt:lpstr>Minimum Spanning Tree</vt:lpstr>
      <vt:lpstr>Minimum Cost Flow</vt:lpstr>
      <vt:lpstr>Critical Path Method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2026-08-04T08:01:25Z</dcterms:created>
  <dcterms:modified xsi:type="dcterms:W3CDTF">2026-09-29T09:08:01Z</dcterms:modified>
</cp:coreProperties>
</file>