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1E82264-4072-4E94-85A6-9C3C7894456F}" xr6:coauthVersionLast="47" xr6:coauthVersionMax="47" xr10:uidLastSave="{00000000-0000-0000-0000-000000000000}"/>
  <bookViews>
    <workbookView xWindow="2340" yWindow="2340" windowWidth="21600" windowHeight="11385" activeTab="3" xr2:uid="{DB0ACC84-C910-4B10-89D8-A12465A8C70F}"/>
  </bookViews>
  <sheets>
    <sheet name="Q1" sheetId="1" r:id="rId1"/>
    <sheet name="Q2" sheetId="3" r:id="rId2"/>
    <sheet name="Q3" sheetId="4" r:id="rId3"/>
    <sheet name="Q5" sheetId="5" r:id="rId4"/>
  </sheets>
  <definedNames>
    <definedName name="solver_adj" localSheetId="0" hidden="1">'Q1'!$D$14:$H$17</definedName>
    <definedName name="solver_adj" localSheetId="1" hidden="1">'Q2'!$D$14:$G$17</definedName>
    <definedName name="solver_adj" localSheetId="2" hidden="1">'Q3'!$D$5:$D$14</definedName>
    <definedName name="solver_adj" localSheetId="3" hidden="1">'Q5'!$J$6:$J$9,'Q5'!$K$6:$K$9,'Q5'!$I$12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'Q1'!$D$18:$H$18</definedName>
    <definedName name="solver_lhs1" localSheetId="1" hidden="1">'Q2'!$D$18:$G$18</definedName>
    <definedName name="solver_lhs1" localSheetId="2" hidden="1">'Q3'!$D$5:$D$14</definedName>
    <definedName name="solver_lhs1" localSheetId="3" hidden="1">'Q5'!$I$12</definedName>
    <definedName name="solver_lhs2" localSheetId="0" hidden="1">'Q1'!$I$14:$I$17</definedName>
    <definedName name="solver_lhs2" localSheetId="1" hidden="1">'Q2'!$H$14:$H$17</definedName>
    <definedName name="solver_lhs2" localSheetId="2" hidden="1">'Q3'!$L$7:$L$11</definedName>
    <definedName name="solver_lhs2" localSheetId="3" hidden="1">'Q5'!$I$12</definedName>
    <definedName name="solver_lhs3" localSheetId="3" hidden="1">'Q5'!$I$12</definedName>
    <definedName name="solver_lhs4" localSheetId="3" hidden="1">'Q5'!$J$8</definedName>
    <definedName name="solver_lhs5" localSheetId="3" hidden="1">'Q5'!$J$9</definedName>
    <definedName name="solver_lhs6" localSheetId="3" hidden="1">'Q5'!$K$6:$K$9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6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'Q1'!$K$7</definedName>
    <definedName name="solver_opt" localSheetId="1" hidden="1">'Q2'!$L$6</definedName>
    <definedName name="solver_opt" localSheetId="2" hidden="1">'Q3'!$J$16</definedName>
    <definedName name="solver_opt" localSheetId="3" hidden="1">'Q5'!$I$14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1</definedName>
    <definedName name="solver_rel1" localSheetId="3" hidden="1">1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3</definedName>
    <definedName name="solver_rel3" localSheetId="3" hidden="1">3</definedName>
    <definedName name="solver_rel4" localSheetId="3" hidden="1">3</definedName>
    <definedName name="solver_rel5" localSheetId="3" hidden="1">3</definedName>
    <definedName name="solver_rel6" localSheetId="3" hidden="1">1</definedName>
    <definedName name="solver_rhs1" localSheetId="0" hidden="1">'Q1'!$D$20:$H$20</definedName>
    <definedName name="solver_rhs1" localSheetId="1" hidden="1">'Q2'!$D$20:$G$20</definedName>
    <definedName name="solver_rhs1" localSheetId="2" hidden="1">'Q3'!$F$5:$F$14</definedName>
    <definedName name="solver_rhs1" localSheetId="3" hidden="1">'Q5'!$K$12</definedName>
    <definedName name="solver_rhs2" localSheetId="0" hidden="1">'Q1'!$K$14:$K$17</definedName>
    <definedName name="solver_rhs2" localSheetId="1" hidden="1">'Q2'!$J$14:$J$17</definedName>
    <definedName name="solver_rhs2" localSheetId="2" hidden="1">'Q3'!$N$7:$N$11</definedName>
    <definedName name="solver_rhs2" localSheetId="3" hidden="1">'Q5'!$L$8</definedName>
    <definedName name="solver_rhs3" localSheetId="3" hidden="1">'Q5'!$L$9</definedName>
    <definedName name="solver_rhs4" localSheetId="3" hidden="1">'Q5'!$L$6</definedName>
    <definedName name="solver_rhs5" localSheetId="3" hidden="1">'Q5'!$L$7</definedName>
    <definedName name="solver_rhs6" localSheetId="3" hidden="1">'Q5'!$H$6:$H$9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5" l="1"/>
  <c r="L7" i="5"/>
  <c r="L8" i="5"/>
  <c r="L9" i="5"/>
  <c r="L6" i="5"/>
  <c r="I7" i="5"/>
  <c r="I8" i="5"/>
  <c r="I9" i="5"/>
  <c r="I6" i="5"/>
  <c r="H7" i="5"/>
  <c r="H8" i="5"/>
  <c r="H9" i="5"/>
  <c r="H6" i="5"/>
  <c r="K7" i="4"/>
  <c r="K8" i="4"/>
  <c r="K9" i="4"/>
  <c r="K10" i="4"/>
  <c r="K11" i="4"/>
  <c r="K12" i="4"/>
  <c r="K6" i="4"/>
  <c r="J7" i="4"/>
  <c r="L7" i="4" s="1"/>
  <c r="J8" i="4"/>
  <c r="J9" i="4"/>
  <c r="L9" i="4" s="1"/>
  <c r="J10" i="4"/>
  <c r="J11" i="4"/>
  <c r="J12" i="4"/>
  <c r="J6" i="4"/>
  <c r="L6" i="4" s="1"/>
  <c r="J16" i="4" s="1"/>
  <c r="L6" i="3"/>
  <c r="G18" i="3"/>
  <c r="F18" i="3"/>
  <c r="E18" i="3"/>
  <c r="D18" i="3"/>
  <c r="H17" i="3"/>
  <c r="H16" i="3"/>
  <c r="H15" i="3"/>
  <c r="H14" i="3"/>
  <c r="K7" i="1"/>
  <c r="E18" i="1"/>
  <c r="F18" i="1"/>
  <c r="G18" i="1"/>
  <c r="H18" i="1"/>
  <c r="D18" i="1"/>
  <c r="I14" i="1"/>
  <c r="I15" i="1"/>
  <c r="I16" i="1"/>
  <c r="I17" i="1"/>
  <c r="L11" i="4" l="1"/>
  <c r="L8" i="4"/>
  <c r="L10" i="4"/>
  <c r="L12" i="4"/>
</calcChain>
</file>

<file path=xl/sharedStrings.xml><?xml version="1.0" encoding="utf-8"?>
<sst xmlns="http://schemas.openxmlformats.org/spreadsheetml/2006/main" count="100" uniqueCount="42">
  <si>
    <t>4 (DUMMY)</t>
  </si>
  <si>
    <t>SOURCE</t>
  </si>
  <si>
    <t>DESTINATION</t>
  </si>
  <si>
    <t xml:space="preserve"> =</t>
  </si>
  <si>
    <t>DEMAND</t>
  </si>
  <si>
    <t>SUPPLY</t>
  </si>
  <si>
    <t>TOTAL_SUPPLIED</t>
  </si>
  <si>
    <t xml:space="preserve">TOTAL COST = </t>
  </si>
  <si>
    <t>TASK</t>
  </si>
  <si>
    <t>ASSIGNEE</t>
  </si>
  <si>
    <t>A</t>
  </si>
  <si>
    <t>B</t>
  </si>
  <si>
    <t>C</t>
  </si>
  <si>
    <t>D</t>
  </si>
  <si>
    <t xml:space="preserve">TOTAL_ASSIGNMENT = </t>
  </si>
  <si>
    <t>TOTAL_DEMAND</t>
  </si>
  <si>
    <t>ARYAN KUSHWAHA - 24025570030</t>
  </si>
  <si>
    <t xml:space="preserve">FROM </t>
  </si>
  <si>
    <t xml:space="preserve">TO </t>
  </si>
  <si>
    <t>FLOW</t>
  </si>
  <si>
    <t>CAPACITY</t>
  </si>
  <si>
    <t>NODE</t>
  </si>
  <si>
    <t>FLOW-OUT</t>
  </si>
  <si>
    <t>FLOW-IN</t>
  </si>
  <si>
    <t>OUT-IN</t>
  </si>
  <si>
    <t>RHS</t>
  </si>
  <si>
    <t>&lt;=</t>
  </si>
  <si>
    <t xml:space="preserve">TOTAL_FLOW = </t>
  </si>
  <si>
    <t>ACTIVITY</t>
  </si>
  <si>
    <t>PREDECESSOR</t>
  </si>
  <si>
    <t>TIME</t>
  </si>
  <si>
    <t>NORMAL</t>
  </si>
  <si>
    <t>CRASH</t>
  </si>
  <si>
    <t>COST</t>
  </si>
  <si>
    <t>MAXIMUM REDUCTION IN TIME</t>
  </si>
  <si>
    <t>CRASH COST PER REDUCTION</t>
  </si>
  <si>
    <t>START TIME</t>
  </si>
  <si>
    <t xml:space="preserve">TIME REDUCTION </t>
  </si>
  <si>
    <t>FINISH TIME</t>
  </si>
  <si>
    <t>-</t>
  </si>
  <si>
    <t>MAX_TIME</t>
  </si>
  <si>
    <t xml:space="preserve">TOTAL TIME: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</si>
</sst>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8" xfId="0" applyFill="1" applyBorder="1" applyAlignment="1">
      <alignment horizontal="center"/>
    </xf>
    <xf numFmtId="0" fontId="0" fillId="2" borderId="18" xfId="0" applyFill="1" applyBorder="1" applyAlignment="1">
      <alignment horizontal="center" wrapText="1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1" xfId="0" applyFill="1" applyBorder="1" applyAlignment="1">
      <alignment horizontal="center" wrapText="1"/>
    </xf>
    <xf numFmtId="0" fontId="0" fillId="2" borderId="2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8AAA-11A3-4168-99C3-7EEDFB346192}">
  <dimension ref="A1:K20"/>
  <sheetViews>
    <sheetView workbookViewId="0">
      <selection sqref="A1:C2"/>
    </sheetView>
  </sheetViews>
  <sheetFormatPr defaultRowHeight="15" x14ac:dyDescent="0.25"/>
  <cols>
    <col min="3" max="3" width="15.140625" bestFit="1" customWidth="1"/>
    <col min="9" max="9" width="15.7109375" bestFit="1" customWidth="1"/>
    <col min="10" max="10" width="13.42578125" bestFit="1" customWidth="1"/>
  </cols>
  <sheetData>
    <row r="1" spans="1:11" x14ac:dyDescent="0.25">
      <c r="A1" s="2" t="s">
        <v>16</v>
      </c>
      <c r="B1" s="2"/>
      <c r="C1" s="2"/>
    </row>
    <row r="2" spans="1:11" x14ac:dyDescent="0.25">
      <c r="A2" s="2"/>
      <c r="B2" s="2"/>
      <c r="C2" s="2"/>
    </row>
    <row r="4" spans="1:11" ht="15.75" thickBot="1" x14ac:dyDescent="0.3">
      <c r="B4" s="1"/>
      <c r="C4" s="1"/>
      <c r="D4" s="2" t="s">
        <v>2</v>
      </c>
      <c r="E4" s="2"/>
      <c r="F4" s="2"/>
      <c r="G4" s="2"/>
      <c r="H4" s="2"/>
      <c r="I4" s="1"/>
      <c r="J4" s="1"/>
      <c r="K4" s="1"/>
    </row>
    <row r="5" spans="1:11" ht="15.75" thickBot="1" x14ac:dyDescent="0.3">
      <c r="B5" s="1"/>
      <c r="C5" s="1"/>
      <c r="D5" s="7">
        <v>1</v>
      </c>
      <c r="E5" s="8">
        <v>2</v>
      </c>
      <c r="F5" s="8">
        <v>3</v>
      </c>
      <c r="G5" s="8">
        <v>4</v>
      </c>
      <c r="H5" s="23">
        <v>5</v>
      </c>
      <c r="I5" s="1"/>
      <c r="J5" s="1"/>
      <c r="K5" s="1"/>
    </row>
    <row r="6" spans="1:11" ht="15.75" thickBot="1" x14ac:dyDescent="0.3">
      <c r="B6" s="5" t="s">
        <v>1</v>
      </c>
      <c r="C6" s="10">
        <v>1</v>
      </c>
      <c r="D6" s="11">
        <v>8</v>
      </c>
      <c r="E6" s="12">
        <v>6</v>
      </c>
      <c r="F6" s="12">
        <v>3</v>
      </c>
      <c r="G6" s="12">
        <v>7</v>
      </c>
      <c r="H6" s="12">
        <v>5</v>
      </c>
      <c r="I6" s="1"/>
      <c r="J6" s="1"/>
      <c r="K6" s="1"/>
    </row>
    <row r="7" spans="1:11" ht="15.75" thickBot="1" x14ac:dyDescent="0.3">
      <c r="B7" s="5"/>
      <c r="C7" s="15">
        <v>2</v>
      </c>
      <c r="D7" s="16">
        <v>5</v>
      </c>
      <c r="E7" s="17">
        <v>9999</v>
      </c>
      <c r="F7" s="17">
        <v>8</v>
      </c>
      <c r="G7" s="17">
        <v>4</v>
      </c>
      <c r="H7" s="17">
        <v>7</v>
      </c>
      <c r="I7" s="1"/>
      <c r="J7" s="24" t="s">
        <v>7</v>
      </c>
      <c r="K7" s="9">
        <f>SUMPRODUCT(D14:H17,D6:H9)</f>
        <v>305</v>
      </c>
    </row>
    <row r="8" spans="1:11" x14ac:dyDescent="0.25">
      <c r="B8" s="5"/>
      <c r="C8" s="15">
        <v>3</v>
      </c>
      <c r="D8" s="16">
        <v>6</v>
      </c>
      <c r="E8" s="17">
        <v>3</v>
      </c>
      <c r="F8" s="17">
        <v>9</v>
      </c>
      <c r="G8" s="17">
        <v>6</v>
      </c>
      <c r="H8" s="17">
        <v>8</v>
      </c>
      <c r="I8" s="1"/>
      <c r="J8" s="1"/>
      <c r="K8" s="1"/>
    </row>
    <row r="9" spans="1:11" ht="15.75" thickBot="1" x14ac:dyDescent="0.3">
      <c r="B9" s="5"/>
      <c r="C9" s="19" t="s">
        <v>0</v>
      </c>
      <c r="D9" s="16">
        <v>0</v>
      </c>
      <c r="E9" s="17">
        <v>0</v>
      </c>
      <c r="F9" s="17">
        <v>0</v>
      </c>
      <c r="G9" s="17">
        <v>0</v>
      </c>
      <c r="H9" s="17">
        <v>0</v>
      </c>
      <c r="I9" s="1"/>
      <c r="J9" s="1"/>
      <c r="K9" s="1"/>
    </row>
    <row r="10" spans="1:1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thickBot="1" x14ac:dyDescent="0.3">
      <c r="B12" s="1"/>
      <c r="C12" s="1"/>
      <c r="D12" s="2" t="s">
        <v>2</v>
      </c>
      <c r="E12" s="2"/>
      <c r="F12" s="2"/>
      <c r="G12" s="2"/>
      <c r="H12" s="2"/>
      <c r="I12" s="1"/>
      <c r="J12" s="1"/>
      <c r="K12" s="1"/>
    </row>
    <row r="13" spans="1:11" ht="15.75" thickBot="1" x14ac:dyDescent="0.3">
      <c r="B13" s="1"/>
      <c r="C13" s="1"/>
      <c r="D13" s="7">
        <v>1</v>
      </c>
      <c r="E13" s="8">
        <v>2</v>
      </c>
      <c r="F13" s="8">
        <v>3</v>
      </c>
      <c r="G13" s="8">
        <v>4</v>
      </c>
      <c r="H13" s="23">
        <v>5</v>
      </c>
      <c r="I13" s="9" t="s">
        <v>6</v>
      </c>
      <c r="J13" s="1"/>
      <c r="K13" s="9" t="s">
        <v>5</v>
      </c>
    </row>
    <row r="14" spans="1:11" x14ac:dyDescent="0.25">
      <c r="B14" s="5" t="s">
        <v>1</v>
      </c>
      <c r="C14" s="10">
        <v>1</v>
      </c>
      <c r="D14" s="11">
        <v>0</v>
      </c>
      <c r="E14" s="12">
        <v>0</v>
      </c>
      <c r="F14" s="12">
        <v>20</v>
      </c>
      <c r="G14" s="12">
        <v>0</v>
      </c>
      <c r="H14" s="13">
        <v>0</v>
      </c>
      <c r="I14" s="17">
        <f>SUM(D14:H14)</f>
        <v>20</v>
      </c>
      <c r="J14" s="1" t="s">
        <v>3</v>
      </c>
      <c r="K14" s="17">
        <v>20</v>
      </c>
    </row>
    <row r="15" spans="1:11" x14ac:dyDescent="0.25">
      <c r="B15" s="5"/>
      <c r="C15" s="15">
        <v>2</v>
      </c>
      <c r="D15" s="16">
        <v>20</v>
      </c>
      <c r="E15" s="17">
        <v>0</v>
      </c>
      <c r="F15" s="17">
        <v>0</v>
      </c>
      <c r="G15" s="17">
        <v>10</v>
      </c>
      <c r="H15" s="18">
        <v>0</v>
      </c>
      <c r="I15" s="17">
        <f t="shared" ref="I15:I17" si="0">SUM(D15:H15)</f>
        <v>30</v>
      </c>
      <c r="J15" s="1" t="s">
        <v>3</v>
      </c>
      <c r="K15" s="17">
        <v>30</v>
      </c>
    </row>
    <row r="16" spans="1:11" x14ac:dyDescent="0.25">
      <c r="B16" s="5"/>
      <c r="C16" s="15">
        <v>3</v>
      </c>
      <c r="D16" s="16">
        <v>5</v>
      </c>
      <c r="E16" s="17">
        <v>25</v>
      </c>
      <c r="F16" s="17">
        <v>0</v>
      </c>
      <c r="G16" s="17">
        <v>0</v>
      </c>
      <c r="H16" s="18">
        <v>0</v>
      </c>
      <c r="I16" s="17">
        <f t="shared" si="0"/>
        <v>30</v>
      </c>
      <c r="J16" s="1" t="s">
        <v>3</v>
      </c>
      <c r="K16" s="17">
        <v>30</v>
      </c>
    </row>
    <row r="17" spans="2:11" ht="15.75" thickBot="1" x14ac:dyDescent="0.3">
      <c r="B17" s="5"/>
      <c r="C17" s="19" t="s">
        <v>0</v>
      </c>
      <c r="D17" s="20">
        <v>0</v>
      </c>
      <c r="E17" s="21">
        <v>0</v>
      </c>
      <c r="F17" s="21">
        <v>0</v>
      </c>
      <c r="G17" s="21">
        <v>0</v>
      </c>
      <c r="H17" s="22">
        <v>20</v>
      </c>
      <c r="I17" s="17">
        <f t="shared" si="0"/>
        <v>20</v>
      </c>
      <c r="J17" s="1" t="s">
        <v>3</v>
      </c>
      <c r="K17" s="17">
        <v>20</v>
      </c>
    </row>
    <row r="18" spans="2:11" x14ac:dyDescent="0.25">
      <c r="B18" s="1"/>
      <c r="C18" s="9" t="s">
        <v>15</v>
      </c>
      <c r="D18" s="17">
        <f>SUM(D14:D17)</f>
        <v>25</v>
      </c>
      <c r="E18" s="17">
        <f t="shared" ref="E18:H18" si="1">SUM(E14:E17)</f>
        <v>25</v>
      </c>
      <c r="F18" s="17">
        <f t="shared" si="1"/>
        <v>20</v>
      </c>
      <c r="G18" s="17">
        <f t="shared" si="1"/>
        <v>10</v>
      </c>
      <c r="H18" s="17">
        <f t="shared" si="1"/>
        <v>20</v>
      </c>
      <c r="I18" s="1"/>
      <c r="J18" s="1"/>
      <c r="K18" s="1"/>
    </row>
    <row r="19" spans="2:11" x14ac:dyDescent="0.25">
      <c r="B19" s="1"/>
      <c r="C19" s="1"/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/>
      <c r="J19" s="1"/>
      <c r="K19" s="1"/>
    </row>
    <row r="20" spans="2:11" x14ac:dyDescent="0.25">
      <c r="B20" s="1"/>
      <c r="C20" s="9" t="s">
        <v>4</v>
      </c>
      <c r="D20" s="17">
        <v>25</v>
      </c>
      <c r="E20" s="17">
        <v>25</v>
      </c>
      <c r="F20" s="17">
        <v>20</v>
      </c>
      <c r="G20" s="17">
        <v>10</v>
      </c>
      <c r="H20" s="17">
        <v>20</v>
      </c>
      <c r="I20" s="1"/>
      <c r="J20" s="1"/>
      <c r="K20" s="1"/>
    </row>
  </sheetData>
  <mergeCells count="5">
    <mergeCell ref="D4:H4"/>
    <mergeCell ref="B6:B9"/>
    <mergeCell ref="D12:H12"/>
    <mergeCell ref="B14:B17"/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030D-8A47-498F-8E5F-46E4035A19A2}">
  <dimension ref="A1:L20"/>
  <sheetViews>
    <sheetView workbookViewId="0">
      <selection activeCell="F11" sqref="F11"/>
    </sheetView>
  </sheetViews>
  <sheetFormatPr defaultRowHeight="15" x14ac:dyDescent="0.25"/>
  <cols>
    <col min="3" max="3" width="15.140625" bestFit="1" customWidth="1"/>
    <col min="8" max="8" width="15.7109375" bestFit="1" customWidth="1"/>
    <col min="11" max="11" width="20.85546875" bestFit="1" customWidth="1"/>
  </cols>
  <sheetData>
    <row r="1" spans="1:12" x14ac:dyDescent="0.25">
      <c r="A1" s="2" t="s">
        <v>16</v>
      </c>
      <c r="B1" s="2"/>
      <c r="C1" s="2"/>
    </row>
    <row r="2" spans="1:12" x14ac:dyDescent="0.25">
      <c r="A2" s="2"/>
      <c r="B2" s="2"/>
      <c r="C2" s="2"/>
    </row>
    <row r="4" spans="1:12" ht="15.75" thickBot="1" x14ac:dyDescent="0.3">
      <c r="B4" s="1"/>
      <c r="C4" s="2" t="s">
        <v>8</v>
      </c>
      <c r="D4" s="2"/>
      <c r="E4" s="2"/>
      <c r="F4" s="2"/>
      <c r="G4" s="2"/>
      <c r="H4" s="1"/>
      <c r="I4" s="1"/>
      <c r="J4" s="1"/>
      <c r="K4" s="1"/>
      <c r="L4" s="1"/>
    </row>
    <row r="5" spans="1:12" ht="15.75" thickBot="1" x14ac:dyDescent="0.3">
      <c r="B5" s="1"/>
      <c r="C5" s="1"/>
      <c r="D5" s="7">
        <v>1</v>
      </c>
      <c r="E5" s="8">
        <v>2</v>
      </c>
      <c r="F5" s="8">
        <v>3</v>
      </c>
      <c r="G5" s="8">
        <v>4</v>
      </c>
      <c r="H5" s="9" t="s">
        <v>5</v>
      </c>
      <c r="I5" s="1"/>
      <c r="J5" s="1"/>
      <c r="K5" s="1"/>
      <c r="L5" s="1"/>
    </row>
    <row r="6" spans="1:12" x14ac:dyDescent="0.25">
      <c r="B6" s="5" t="s">
        <v>9</v>
      </c>
      <c r="C6" s="10" t="s">
        <v>10</v>
      </c>
      <c r="D6" s="11">
        <v>8</v>
      </c>
      <c r="E6" s="12">
        <v>6</v>
      </c>
      <c r="F6" s="12">
        <v>5</v>
      </c>
      <c r="G6" s="13">
        <v>7</v>
      </c>
      <c r="H6" s="14">
        <v>1</v>
      </c>
      <c r="I6" s="1"/>
      <c r="J6" s="1"/>
      <c r="K6" s="9" t="s">
        <v>14</v>
      </c>
      <c r="L6" s="9">
        <f>SUMPRODUCT(D6:G9,D14:G17)</f>
        <v>20</v>
      </c>
    </row>
    <row r="7" spans="1:12" x14ac:dyDescent="0.25">
      <c r="B7" s="5"/>
      <c r="C7" s="15" t="s">
        <v>11</v>
      </c>
      <c r="D7" s="16">
        <v>6</v>
      </c>
      <c r="E7" s="17">
        <v>5</v>
      </c>
      <c r="F7" s="17">
        <v>3</v>
      </c>
      <c r="G7" s="18">
        <v>4</v>
      </c>
      <c r="H7" s="14">
        <v>1</v>
      </c>
      <c r="I7" s="1"/>
      <c r="J7" s="1"/>
      <c r="K7" s="1"/>
      <c r="L7" s="1"/>
    </row>
    <row r="8" spans="1:12" x14ac:dyDescent="0.25">
      <c r="B8" s="5"/>
      <c r="C8" s="15" t="s">
        <v>12</v>
      </c>
      <c r="D8" s="16">
        <v>7</v>
      </c>
      <c r="E8" s="17">
        <v>8</v>
      </c>
      <c r="F8" s="17">
        <v>4</v>
      </c>
      <c r="G8" s="18">
        <v>6</v>
      </c>
      <c r="H8" s="14">
        <v>1</v>
      </c>
      <c r="I8" s="1"/>
      <c r="J8" s="1"/>
      <c r="K8" s="1"/>
      <c r="L8" s="1"/>
    </row>
    <row r="9" spans="1:12" ht="15.75" thickBot="1" x14ac:dyDescent="0.3">
      <c r="B9" s="5"/>
      <c r="C9" s="19" t="s">
        <v>13</v>
      </c>
      <c r="D9" s="16">
        <v>6</v>
      </c>
      <c r="E9" s="17">
        <v>7</v>
      </c>
      <c r="F9" s="17">
        <v>5</v>
      </c>
      <c r="G9" s="18">
        <v>6</v>
      </c>
      <c r="H9" s="14">
        <v>1</v>
      </c>
      <c r="I9" s="1"/>
      <c r="J9" s="1"/>
      <c r="K9" s="1"/>
      <c r="L9" s="1"/>
    </row>
    <row r="10" spans="1:1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.75" thickBot="1" x14ac:dyDescent="0.3">
      <c r="B12" s="1"/>
      <c r="C12" s="1"/>
      <c r="D12" s="2" t="s">
        <v>8</v>
      </c>
      <c r="E12" s="2"/>
      <c r="F12" s="2"/>
      <c r="G12" s="2"/>
      <c r="H12" s="2"/>
      <c r="I12" s="1"/>
      <c r="J12" s="1"/>
      <c r="K12" s="1"/>
      <c r="L12" s="1"/>
    </row>
    <row r="13" spans="1:12" ht="15.75" thickBot="1" x14ac:dyDescent="0.3">
      <c r="B13" s="1"/>
      <c r="C13" s="1"/>
      <c r="D13" s="7">
        <v>1</v>
      </c>
      <c r="E13" s="8">
        <v>2</v>
      </c>
      <c r="F13" s="8">
        <v>3</v>
      </c>
      <c r="G13" s="8">
        <v>4</v>
      </c>
      <c r="H13" s="9" t="s">
        <v>6</v>
      </c>
      <c r="I13" s="1"/>
      <c r="J13" s="9" t="s">
        <v>5</v>
      </c>
      <c r="K13" s="1"/>
      <c r="L13" s="1"/>
    </row>
    <row r="14" spans="1:12" x14ac:dyDescent="0.25">
      <c r="B14" s="5" t="s">
        <v>9</v>
      </c>
      <c r="C14" s="10" t="s">
        <v>10</v>
      </c>
      <c r="D14" s="11">
        <v>0</v>
      </c>
      <c r="E14" s="12">
        <v>1</v>
      </c>
      <c r="F14" s="12">
        <v>0</v>
      </c>
      <c r="G14" s="13">
        <v>0</v>
      </c>
      <c r="H14" s="17">
        <f>SUM(D14:G14)</f>
        <v>1</v>
      </c>
      <c r="I14" s="1" t="s">
        <v>3</v>
      </c>
      <c r="J14" s="17">
        <v>1</v>
      </c>
      <c r="K14" s="1"/>
      <c r="L14" s="1"/>
    </row>
    <row r="15" spans="1:12" x14ac:dyDescent="0.25">
      <c r="B15" s="5"/>
      <c r="C15" s="15" t="s">
        <v>11</v>
      </c>
      <c r="D15" s="16">
        <v>0</v>
      </c>
      <c r="E15" s="17">
        <v>0</v>
      </c>
      <c r="F15" s="17">
        <v>0</v>
      </c>
      <c r="G15" s="18">
        <v>1</v>
      </c>
      <c r="H15" s="17">
        <f>SUM(D15:G15)</f>
        <v>1</v>
      </c>
      <c r="I15" s="1" t="s">
        <v>3</v>
      </c>
      <c r="J15" s="17">
        <v>1</v>
      </c>
      <c r="K15" s="1"/>
      <c r="L15" s="1"/>
    </row>
    <row r="16" spans="1:12" x14ac:dyDescent="0.25">
      <c r="B16" s="5"/>
      <c r="C16" s="15" t="s">
        <v>12</v>
      </c>
      <c r="D16" s="16">
        <v>0</v>
      </c>
      <c r="E16" s="17">
        <v>0</v>
      </c>
      <c r="F16" s="17">
        <v>1</v>
      </c>
      <c r="G16" s="18">
        <v>0</v>
      </c>
      <c r="H16" s="17">
        <f>SUM(D16:G16)</f>
        <v>1</v>
      </c>
      <c r="I16" s="1" t="s">
        <v>3</v>
      </c>
      <c r="J16" s="17">
        <v>1</v>
      </c>
      <c r="K16" s="1"/>
      <c r="L16" s="1"/>
    </row>
    <row r="17" spans="2:12" ht="15.75" thickBot="1" x14ac:dyDescent="0.3">
      <c r="B17" s="5"/>
      <c r="C17" s="19" t="s">
        <v>13</v>
      </c>
      <c r="D17" s="20">
        <v>1</v>
      </c>
      <c r="E17" s="21">
        <v>0</v>
      </c>
      <c r="F17" s="21">
        <v>0</v>
      </c>
      <c r="G17" s="22">
        <v>0</v>
      </c>
      <c r="H17" s="17">
        <f>SUM(D17:G17)</f>
        <v>1</v>
      </c>
      <c r="I17" s="1" t="s">
        <v>3</v>
      </c>
      <c r="J17" s="17">
        <v>1</v>
      </c>
      <c r="K17" s="1"/>
      <c r="L17" s="1"/>
    </row>
    <row r="18" spans="2:12" x14ac:dyDescent="0.25">
      <c r="B18" s="1"/>
      <c r="C18" s="9" t="s">
        <v>15</v>
      </c>
      <c r="D18" s="17">
        <f>SUM(D14:D17)</f>
        <v>1</v>
      </c>
      <c r="E18" s="17">
        <f t="shared" ref="E18:G18" si="0">SUM(E14:E17)</f>
        <v>1</v>
      </c>
      <c r="F18" s="17">
        <f t="shared" si="0"/>
        <v>1</v>
      </c>
      <c r="G18" s="17">
        <f t="shared" si="0"/>
        <v>1</v>
      </c>
      <c r="H18" s="1"/>
      <c r="I18" s="1"/>
      <c r="J18" s="1"/>
      <c r="K18" s="1"/>
      <c r="L18" s="1"/>
    </row>
    <row r="19" spans="2:12" x14ac:dyDescent="0.25">
      <c r="B19" s="1"/>
      <c r="C19" s="1"/>
      <c r="D19" s="1" t="s">
        <v>3</v>
      </c>
      <c r="E19" s="1" t="s">
        <v>3</v>
      </c>
      <c r="F19" s="1" t="s">
        <v>3</v>
      </c>
      <c r="G19" s="1" t="s">
        <v>3</v>
      </c>
      <c r="H19" s="1"/>
      <c r="I19" s="1"/>
      <c r="J19" s="1"/>
      <c r="K19" s="1"/>
      <c r="L19" s="1"/>
    </row>
    <row r="20" spans="2:12" x14ac:dyDescent="0.25">
      <c r="B20" s="1"/>
      <c r="C20" s="9" t="s">
        <v>4</v>
      </c>
      <c r="D20" s="17">
        <v>1</v>
      </c>
      <c r="E20" s="17">
        <v>1</v>
      </c>
      <c r="F20" s="17">
        <v>1</v>
      </c>
      <c r="G20" s="17">
        <v>1</v>
      </c>
      <c r="H20" s="1"/>
      <c r="I20" s="1"/>
      <c r="J20" s="1"/>
      <c r="K20" s="1"/>
      <c r="L20" s="1"/>
    </row>
  </sheetData>
  <mergeCells count="5">
    <mergeCell ref="C4:G4"/>
    <mergeCell ref="B6:B9"/>
    <mergeCell ref="B14:B17"/>
    <mergeCell ref="D12:H12"/>
    <mergeCell ref="A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5A99-47F5-4E54-8950-EED851AA902B}">
  <dimension ref="A1:N16"/>
  <sheetViews>
    <sheetView workbookViewId="0">
      <selection activeCell="L6" sqref="L6"/>
    </sheetView>
  </sheetViews>
  <sheetFormatPr defaultRowHeight="15" x14ac:dyDescent="0.25"/>
  <cols>
    <col min="3" max="3" width="13.7109375" customWidth="1"/>
    <col min="9" max="9" width="14.28515625" bestFit="1" customWidth="1"/>
    <col min="10" max="10" width="10.42578125" bestFit="1" customWidth="1"/>
    <col min="11" max="11" width="8.7109375" bestFit="1" customWidth="1"/>
  </cols>
  <sheetData>
    <row r="1" spans="1:14" x14ac:dyDescent="0.25">
      <c r="A1" s="2" t="s">
        <v>16</v>
      </c>
      <c r="B1" s="2"/>
      <c r="C1" s="2"/>
    </row>
    <row r="2" spans="1:14" x14ac:dyDescent="0.25">
      <c r="A2" s="2"/>
      <c r="B2" s="2"/>
      <c r="C2" s="2"/>
    </row>
    <row r="3" spans="1:14" ht="15.75" thickBot="1" x14ac:dyDescent="0.3"/>
    <row r="4" spans="1:14" ht="15.75" thickBot="1" x14ac:dyDescent="0.3">
      <c r="B4" s="25" t="s">
        <v>17</v>
      </c>
      <c r="C4" s="26" t="s">
        <v>18</v>
      </c>
      <c r="D4" s="26" t="s">
        <v>19</v>
      </c>
      <c r="E4" s="26"/>
      <c r="F4" s="27" t="s">
        <v>20</v>
      </c>
    </row>
    <row r="5" spans="1:14" ht="15.75" thickBot="1" x14ac:dyDescent="0.3">
      <c r="B5" s="4">
        <v>1</v>
      </c>
      <c r="C5" s="4">
        <v>2</v>
      </c>
      <c r="D5" s="4">
        <v>4</v>
      </c>
      <c r="E5" s="4" t="s">
        <v>26</v>
      </c>
      <c r="F5" s="4">
        <v>6</v>
      </c>
      <c r="I5" s="25" t="s">
        <v>21</v>
      </c>
      <c r="J5" s="26" t="s">
        <v>22</v>
      </c>
      <c r="K5" s="26" t="s">
        <v>23</v>
      </c>
      <c r="L5" s="26" t="s">
        <v>24</v>
      </c>
      <c r="M5" s="26"/>
      <c r="N5" s="27" t="s">
        <v>25</v>
      </c>
    </row>
    <row r="6" spans="1:14" x14ac:dyDescent="0.25">
      <c r="B6" s="3">
        <v>1</v>
      </c>
      <c r="C6" s="3">
        <v>3</v>
      </c>
      <c r="D6" s="3">
        <v>4</v>
      </c>
      <c r="E6" s="4" t="s">
        <v>26</v>
      </c>
      <c r="F6" s="3">
        <v>4</v>
      </c>
      <c r="I6" s="4">
        <v>1</v>
      </c>
      <c r="J6" s="4">
        <f>SUMIF($B$5:$B$14,I6,$D$5:$D$14)</f>
        <v>9</v>
      </c>
      <c r="K6" s="4">
        <f>SUMIF($C$5:$C$14,I6,$D$5:$D$14)</f>
        <v>0</v>
      </c>
      <c r="L6" s="4">
        <f>J6 - K6</f>
        <v>9</v>
      </c>
      <c r="M6" s="4"/>
      <c r="N6" s="4"/>
    </row>
    <row r="7" spans="1:14" x14ac:dyDescent="0.25">
      <c r="B7" s="3">
        <v>1</v>
      </c>
      <c r="C7" s="3">
        <v>4</v>
      </c>
      <c r="D7" s="3">
        <v>1</v>
      </c>
      <c r="E7" s="4" t="s">
        <v>26</v>
      </c>
      <c r="F7" s="3">
        <v>1</v>
      </c>
      <c r="I7" s="3">
        <v>2</v>
      </c>
      <c r="J7" s="4">
        <f t="shared" ref="J7:J12" si="0">SUMIF($B$5:$B$14,I7,$D$5:$D$14)</f>
        <v>4</v>
      </c>
      <c r="K7" s="4">
        <f t="shared" ref="K7:K12" si="1">SUMIF($C$5:$C$14,I7,$D$5:$D$14)</f>
        <v>4</v>
      </c>
      <c r="L7" s="4">
        <f t="shared" ref="L7:L12" si="2">J7 - K7</f>
        <v>0</v>
      </c>
      <c r="M7" s="3" t="s">
        <v>3</v>
      </c>
      <c r="N7" s="3">
        <v>0</v>
      </c>
    </row>
    <row r="8" spans="1:14" x14ac:dyDescent="0.25">
      <c r="B8" s="3">
        <v>2</v>
      </c>
      <c r="C8" s="3">
        <v>5</v>
      </c>
      <c r="D8" s="3">
        <v>4</v>
      </c>
      <c r="E8" s="4" t="s">
        <v>26</v>
      </c>
      <c r="F8" s="3">
        <v>4</v>
      </c>
      <c r="I8" s="3">
        <v>3</v>
      </c>
      <c r="J8" s="4">
        <f t="shared" si="0"/>
        <v>4</v>
      </c>
      <c r="K8" s="4">
        <f t="shared" si="1"/>
        <v>4</v>
      </c>
      <c r="L8" s="4">
        <f t="shared" si="2"/>
        <v>0</v>
      </c>
      <c r="M8" s="3" t="s">
        <v>3</v>
      </c>
      <c r="N8" s="3">
        <v>0</v>
      </c>
    </row>
    <row r="9" spans="1:14" x14ac:dyDescent="0.25">
      <c r="B9" s="3">
        <v>3</v>
      </c>
      <c r="C9" s="3">
        <v>5</v>
      </c>
      <c r="D9" s="3">
        <v>0</v>
      </c>
      <c r="E9" s="4" t="s">
        <v>26</v>
      </c>
      <c r="F9" s="3">
        <v>1</v>
      </c>
      <c r="I9" s="3">
        <v>4</v>
      </c>
      <c r="J9" s="4">
        <f t="shared" si="0"/>
        <v>2</v>
      </c>
      <c r="K9" s="4">
        <f t="shared" si="1"/>
        <v>2</v>
      </c>
      <c r="L9" s="4">
        <f t="shared" si="2"/>
        <v>0</v>
      </c>
      <c r="M9" s="3" t="s">
        <v>3</v>
      </c>
      <c r="N9" s="3">
        <v>0</v>
      </c>
    </row>
    <row r="10" spans="1:14" x14ac:dyDescent="0.25">
      <c r="B10" s="3">
        <v>3</v>
      </c>
      <c r="C10" s="3">
        <v>6</v>
      </c>
      <c r="D10" s="3">
        <v>3</v>
      </c>
      <c r="E10" s="4" t="s">
        <v>26</v>
      </c>
      <c r="F10" s="3">
        <v>3</v>
      </c>
      <c r="I10" s="3">
        <v>5</v>
      </c>
      <c r="J10" s="4">
        <f t="shared" si="0"/>
        <v>4</v>
      </c>
      <c r="K10" s="4">
        <f t="shared" si="1"/>
        <v>4</v>
      </c>
      <c r="L10" s="4">
        <f t="shared" si="2"/>
        <v>0</v>
      </c>
      <c r="M10" s="3" t="s">
        <v>3</v>
      </c>
      <c r="N10" s="3">
        <v>0</v>
      </c>
    </row>
    <row r="11" spans="1:14" x14ac:dyDescent="0.25">
      <c r="B11" s="3">
        <v>4</v>
      </c>
      <c r="C11" s="3">
        <v>6</v>
      </c>
      <c r="D11" s="3">
        <v>2</v>
      </c>
      <c r="E11" s="4" t="s">
        <v>26</v>
      </c>
      <c r="F11" s="3">
        <v>4</v>
      </c>
      <c r="I11" s="3">
        <v>6</v>
      </c>
      <c r="J11" s="4">
        <f t="shared" si="0"/>
        <v>5</v>
      </c>
      <c r="K11" s="4">
        <f t="shared" si="1"/>
        <v>5</v>
      </c>
      <c r="L11" s="4">
        <f t="shared" si="2"/>
        <v>0</v>
      </c>
      <c r="M11" s="3" t="s">
        <v>3</v>
      </c>
      <c r="N11" s="3">
        <v>0</v>
      </c>
    </row>
    <row r="12" spans="1:14" x14ac:dyDescent="0.25">
      <c r="B12" s="3">
        <v>3</v>
      </c>
      <c r="C12" s="3">
        <v>4</v>
      </c>
      <c r="D12" s="3">
        <v>1</v>
      </c>
      <c r="E12" s="4" t="s">
        <v>26</v>
      </c>
      <c r="F12" s="3">
        <v>3</v>
      </c>
      <c r="I12" s="3">
        <v>7</v>
      </c>
      <c r="J12" s="4">
        <f t="shared" si="0"/>
        <v>0</v>
      </c>
      <c r="K12" s="4">
        <f t="shared" si="1"/>
        <v>9</v>
      </c>
      <c r="L12" s="4">
        <f t="shared" si="2"/>
        <v>-9</v>
      </c>
      <c r="M12" s="3"/>
      <c r="N12" s="3"/>
    </row>
    <row r="13" spans="1:14" x14ac:dyDescent="0.25">
      <c r="B13" s="3">
        <v>6</v>
      </c>
      <c r="C13" s="3">
        <v>7</v>
      </c>
      <c r="D13" s="3">
        <v>5</v>
      </c>
      <c r="E13" s="4" t="s">
        <v>26</v>
      </c>
      <c r="F13" s="3">
        <v>9</v>
      </c>
    </row>
    <row r="14" spans="1:14" x14ac:dyDescent="0.25">
      <c r="B14" s="3">
        <v>5</v>
      </c>
      <c r="C14" s="3">
        <v>7</v>
      </c>
      <c r="D14" s="3">
        <v>4</v>
      </c>
      <c r="E14" s="4" t="s">
        <v>26</v>
      </c>
      <c r="F14" s="3">
        <v>4</v>
      </c>
    </row>
    <row r="16" spans="1:14" x14ac:dyDescent="0.25">
      <c r="I16" s="6" t="s">
        <v>27</v>
      </c>
      <c r="J16" s="6">
        <f>L6</f>
        <v>9</v>
      </c>
    </row>
  </sheetData>
  <mergeCells count="1">
    <mergeCell ref="A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0930-0553-4E42-B01E-9AD654C3F56A}">
  <dimension ref="A1:L14"/>
  <sheetViews>
    <sheetView tabSelected="1" workbookViewId="0">
      <selection activeCell="H13" sqref="H13"/>
    </sheetView>
  </sheetViews>
  <sheetFormatPr defaultRowHeight="15" x14ac:dyDescent="0.25"/>
  <cols>
    <col min="3" max="3" width="13.42578125" bestFit="1" customWidth="1"/>
    <col min="8" max="8" width="28.140625" bestFit="1" customWidth="1"/>
    <col min="9" max="9" width="17" customWidth="1"/>
    <col min="10" max="10" width="10.85546875" bestFit="1" customWidth="1"/>
    <col min="11" max="11" width="16.42578125" bestFit="1" customWidth="1"/>
    <col min="12" max="12" width="11.42578125" bestFit="1" customWidth="1"/>
  </cols>
  <sheetData>
    <row r="1" spans="1:12" x14ac:dyDescent="0.25">
      <c r="A1" s="2" t="s">
        <v>16</v>
      </c>
      <c r="B1" s="2"/>
      <c r="C1" s="2"/>
    </row>
    <row r="2" spans="1:12" x14ac:dyDescent="0.25">
      <c r="A2" s="2"/>
      <c r="B2" s="2"/>
      <c r="C2" s="2"/>
    </row>
    <row r="3" spans="1:12" ht="15.75" thickBot="1" x14ac:dyDescent="0.3"/>
    <row r="4" spans="1:12" x14ac:dyDescent="0.25">
      <c r="B4" s="28"/>
      <c r="C4" s="29"/>
      <c r="D4" s="30" t="s">
        <v>30</v>
      </c>
      <c r="E4" s="30"/>
      <c r="F4" s="30" t="s">
        <v>33</v>
      </c>
      <c r="G4" s="30"/>
      <c r="H4" s="31" t="s">
        <v>34</v>
      </c>
      <c r="I4" s="31" t="s">
        <v>35</v>
      </c>
      <c r="J4" s="29"/>
      <c r="K4" s="29"/>
      <c r="L4" s="32"/>
    </row>
    <row r="5" spans="1:12" ht="15.75" thickBot="1" x14ac:dyDescent="0.3">
      <c r="B5" s="33" t="s">
        <v>28</v>
      </c>
      <c r="C5" s="34" t="s">
        <v>29</v>
      </c>
      <c r="D5" s="34" t="s">
        <v>31</v>
      </c>
      <c r="E5" s="34" t="s">
        <v>32</v>
      </c>
      <c r="F5" s="34" t="s">
        <v>31</v>
      </c>
      <c r="G5" s="34" t="s">
        <v>32</v>
      </c>
      <c r="H5" s="35"/>
      <c r="I5" s="35"/>
      <c r="J5" s="34" t="s">
        <v>36</v>
      </c>
      <c r="K5" s="34" t="s">
        <v>37</v>
      </c>
      <c r="L5" s="36" t="s">
        <v>38</v>
      </c>
    </row>
    <row r="6" spans="1:12" x14ac:dyDescent="0.25">
      <c r="B6" s="4" t="s">
        <v>10</v>
      </c>
      <c r="C6" s="4" t="s">
        <v>39</v>
      </c>
      <c r="D6" s="4">
        <v>8</v>
      </c>
      <c r="E6" s="4">
        <v>5</v>
      </c>
      <c r="F6" s="4">
        <v>25000</v>
      </c>
      <c r="G6" s="4">
        <v>40000</v>
      </c>
      <c r="H6" s="4">
        <f>D6-E6</f>
        <v>3</v>
      </c>
      <c r="I6" s="4">
        <f>(G6-F6)/H6</f>
        <v>5000</v>
      </c>
      <c r="J6" s="4">
        <v>0</v>
      </c>
      <c r="K6" s="4">
        <v>0</v>
      </c>
      <c r="L6" s="4">
        <f>J6+D6-K6</f>
        <v>8</v>
      </c>
    </row>
    <row r="7" spans="1:12" x14ac:dyDescent="0.25">
      <c r="B7" s="3" t="s">
        <v>11</v>
      </c>
      <c r="C7" s="3" t="s">
        <v>39</v>
      </c>
      <c r="D7" s="3">
        <v>9</v>
      </c>
      <c r="E7" s="3">
        <v>7</v>
      </c>
      <c r="F7" s="3">
        <v>20000</v>
      </c>
      <c r="G7" s="3">
        <v>30000</v>
      </c>
      <c r="H7" s="3">
        <f t="shared" ref="H7:H9" si="0">D7-E7</f>
        <v>2</v>
      </c>
      <c r="I7" s="3">
        <f t="shared" ref="I7:I9" si="1">(G7-F7)/H7</f>
        <v>5000</v>
      </c>
      <c r="J7" s="3">
        <v>0</v>
      </c>
      <c r="K7" s="3">
        <v>2</v>
      </c>
      <c r="L7" s="3">
        <f t="shared" ref="L7:L9" si="2">J7+D7-K7</f>
        <v>7</v>
      </c>
    </row>
    <row r="8" spans="1:12" x14ac:dyDescent="0.25">
      <c r="B8" s="3" t="s">
        <v>12</v>
      </c>
      <c r="C8" s="3" t="s">
        <v>10</v>
      </c>
      <c r="D8" s="3">
        <v>6</v>
      </c>
      <c r="E8" s="3">
        <v>4</v>
      </c>
      <c r="F8" s="3">
        <v>16000</v>
      </c>
      <c r="G8" s="3">
        <v>24000</v>
      </c>
      <c r="H8" s="3">
        <f t="shared" si="0"/>
        <v>2</v>
      </c>
      <c r="I8" s="3">
        <f t="shared" si="1"/>
        <v>4000</v>
      </c>
      <c r="J8" s="3">
        <v>8</v>
      </c>
      <c r="K8" s="3">
        <v>2</v>
      </c>
      <c r="L8" s="3">
        <f t="shared" si="2"/>
        <v>12</v>
      </c>
    </row>
    <row r="9" spans="1:12" x14ac:dyDescent="0.25">
      <c r="B9" s="3" t="s">
        <v>13</v>
      </c>
      <c r="C9" s="3" t="s">
        <v>11</v>
      </c>
      <c r="D9" s="3">
        <v>7</v>
      </c>
      <c r="E9" s="3">
        <v>4</v>
      </c>
      <c r="F9" s="3">
        <v>27000</v>
      </c>
      <c r="G9" s="3">
        <v>45000</v>
      </c>
      <c r="H9" s="3">
        <f t="shared" si="0"/>
        <v>3</v>
      </c>
      <c r="I9" s="3">
        <f t="shared" si="1"/>
        <v>6000</v>
      </c>
      <c r="J9" s="3">
        <v>7</v>
      </c>
      <c r="K9" s="3">
        <v>2</v>
      </c>
      <c r="L9" s="3">
        <f t="shared" si="2"/>
        <v>12</v>
      </c>
    </row>
    <row r="11" spans="1:12" x14ac:dyDescent="0.25">
      <c r="K11" s="6" t="s">
        <v>40</v>
      </c>
    </row>
    <row r="12" spans="1:12" x14ac:dyDescent="0.25">
      <c r="H12" s="6" t="s">
        <v>41</v>
      </c>
      <c r="I12" s="6">
        <v>12</v>
      </c>
      <c r="J12" t="s">
        <v>26</v>
      </c>
      <c r="K12" s="6">
        <v>12</v>
      </c>
    </row>
    <row r="14" spans="1:12" x14ac:dyDescent="0.25">
      <c r="H14" s="6" t="s">
        <v>7</v>
      </c>
      <c r="I14" s="6">
        <f>SUM(F6:F9)+SUMPRODUCT(K6:K9,I6:I9)</f>
        <v>118000</v>
      </c>
    </row>
  </sheetData>
  <mergeCells count="5">
    <mergeCell ref="A1:C2"/>
    <mergeCell ref="D4:E4"/>
    <mergeCell ref="F4:G4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Q5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2026-10-27T07:53:18Z</dcterms:created>
  <dcterms:modified xsi:type="dcterms:W3CDTF">2026-10-27T09:22:47Z</dcterms:modified>
</cp:coreProperties>
</file>